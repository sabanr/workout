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9800BFFCEA125912/Documents/"/>
    </mc:Choice>
  </mc:AlternateContent>
  <xr:revisionPtr revIDLastSave="163" documentId="14_{0B13A857-064D-485E-A536-CF1D34EACB89}" xr6:coauthVersionLast="47" xr6:coauthVersionMax="47" xr10:uidLastSave="{D03F149B-3B10-440C-A5DA-9D4F5A0E0388}"/>
  <bookViews>
    <workbookView xWindow="240" yWindow="10785" windowWidth="19410" windowHeight="10545" activeTab="1" xr2:uid="{00000000-000D-0000-FFFF-FFFF00000000}"/>
  </bookViews>
  <sheets>
    <sheet name="Routine" sheetId="1" r:id="rId1"/>
    <sheet name="Historical Data" sheetId="2" r:id="rId2"/>
    <sheet name="Summary" sheetId="3" r:id="rId3"/>
  </sheets>
  <calcPr calcId="191028" refMode="R1C1" iterateCount="0" calcOnSave="0" concurrentCalc="0"/>
  <pivotCaches>
    <pivotCache cacheId="6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5" i="2" l="1"/>
  <c r="E295" i="2"/>
  <c r="D294" i="2"/>
  <c r="E294" i="2"/>
  <c r="D31" i="3"/>
  <c r="D293" i="2"/>
  <c r="E293" i="2"/>
  <c r="D292" i="2"/>
  <c r="E292" i="2"/>
  <c r="D291" i="2"/>
  <c r="E291" i="2"/>
  <c r="D290" i="2"/>
  <c r="E290" i="2"/>
  <c r="D289" i="2"/>
  <c r="E289" i="2"/>
  <c r="D288" i="2"/>
  <c r="E288" i="2"/>
  <c r="D287" i="2"/>
  <c r="E287" i="2"/>
  <c r="D286" i="2"/>
  <c r="E286" i="2"/>
  <c r="D285" i="2"/>
  <c r="E285" i="2"/>
  <c r="D284" i="2"/>
  <c r="E284" i="2"/>
  <c r="D283" i="2"/>
  <c r="E283" i="2"/>
  <c r="D282" i="2"/>
  <c r="E282" i="2"/>
  <c r="D281" i="2"/>
  <c r="E281" i="2"/>
  <c r="D280" i="2"/>
  <c r="E280" i="2"/>
  <c r="D278" i="2"/>
  <c r="E278" i="2"/>
  <c r="D279" i="2"/>
  <c r="E279" i="2"/>
  <c r="D277" i="2"/>
  <c r="E277" i="2"/>
  <c r="D275" i="2"/>
  <c r="D276" i="2"/>
  <c r="E275" i="2"/>
  <c r="E276" i="2"/>
  <c r="D273" i="2"/>
  <c r="D274" i="2"/>
  <c r="E273" i="2"/>
  <c r="E274" i="2"/>
  <c r="D271" i="2"/>
  <c r="D272" i="2"/>
  <c r="E271" i="2"/>
  <c r="E272" i="2"/>
  <c r="D269" i="2"/>
  <c r="D270" i="2"/>
  <c r="E269" i="2"/>
  <c r="E270" i="2"/>
  <c r="D268" i="2"/>
  <c r="E268" i="2"/>
  <c r="D267" i="2"/>
  <c r="E267" i="2"/>
  <c r="D266" i="2"/>
  <c r="E266" i="2"/>
  <c r="D265" i="2"/>
  <c r="E265" i="2"/>
  <c r="D263" i="2"/>
  <c r="D264" i="2"/>
  <c r="E263" i="2"/>
  <c r="E264" i="2"/>
  <c r="D262" i="2"/>
  <c r="E262" i="2"/>
  <c r="D261" i="2"/>
  <c r="E261" i="2"/>
  <c r="D260" i="2"/>
  <c r="E260" i="2"/>
  <c r="D259" i="2"/>
  <c r="E259" i="2"/>
  <c r="D258" i="2"/>
  <c r="E258" i="2"/>
  <c r="D257" i="2"/>
  <c r="E257" i="2"/>
  <c r="D256" i="2"/>
  <c r="E256" i="2"/>
  <c r="D255" i="2"/>
  <c r="E255" i="2"/>
  <c r="D254" i="2"/>
  <c r="E254" i="2"/>
  <c r="D253" i="2"/>
  <c r="E253" i="2"/>
  <c r="D252" i="2"/>
  <c r="E252" i="2"/>
  <c r="D251" i="2"/>
  <c r="E251" i="2"/>
  <c r="D250" i="2"/>
  <c r="E250" i="2"/>
  <c r="D249" i="2"/>
  <c r="E249" i="2"/>
  <c r="D248" i="2"/>
  <c r="E248" i="2"/>
  <c r="D247" i="2"/>
  <c r="E247" i="2"/>
  <c r="D246" i="2"/>
  <c r="E246" i="2"/>
  <c r="D245" i="2"/>
  <c r="E245" i="2"/>
  <c r="D244" i="2"/>
  <c r="E244" i="2"/>
  <c r="D243" i="2"/>
  <c r="E243" i="2"/>
  <c r="D242" i="2"/>
  <c r="E242" i="2"/>
  <c r="D241" i="2"/>
  <c r="E241" i="2"/>
  <c r="D240" i="2"/>
  <c r="E240" i="2"/>
  <c r="D239" i="2"/>
  <c r="E239" i="2"/>
  <c r="D238" i="2"/>
  <c r="E238" i="2"/>
  <c r="D237" i="2"/>
  <c r="E237" i="2"/>
  <c r="D236" i="2"/>
  <c r="E236" i="2"/>
  <c r="D235" i="2"/>
  <c r="E235" i="2"/>
  <c r="D234" i="2"/>
  <c r="E234" i="2"/>
  <c r="D233" i="2"/>
  <c r="E233" i="2"/>
  <c r="D232" i="2"/>
  <c r="E232" i="2"/>
  <c r="D231" i="2"/>
  <c r="E231" i="2"/>
  <c r="D230" i="2"/>
  <c r="E230" i="2"/>
  <c r="D229" i="2"/>
  <c r="E229" i="2"/>
  <c r="D228" i="2"/>
  <c r="E228" i="2"/>
  <c r="D227" i="2"/>
  <c r="E227" i="2"/>
  <c r="D226" i="2"/>
  <c r="E226" i="2"/>
  <c r="D225" i="2"/>
  <c r="E225" i="2"/>
  <c r="D224" i="2"/>
  <c r="E224" i="2"/>
  <c r="D223" i="2"/>
  <c r="E223" i="2"/>
  <c r="D222" i="2"/>
  <c r="E222" i="2"/>
  <c r="D221" i="2"/>
  <c r="E221" i="2"/>
  <c r="D220" i="2"/>
  <c r="E220" i="2"/>
  <c r="D219" i="2"/>
  <c r="E219" i="2"/>
  <c r="D218" i="2"/>
  <c r="E218" i="2"/>
  <c r="D217" i="2"/>
  <c r="E217" i="2"/>
  <c r="D216" i="2"/>
  <c r="E216" i="2"/>
  <c r="D215" i="2"/>
  <c r="E215" i="2"/>
  <c r="D214" i="2"/>
  <c r="E214" i="2"/>
  <c r="D213" i="2"/>
  <c r="E213" i="2"/>
  <c r="D212" i="2"/>
  <c r="E212" i="2"/>
  <c r="D211" i="2"/>
  <c r="E211" i="2"/>
  <c r="E210" i="2"/>
  <c r="D210" i="2"/>
  <c r="D209" i="2"/>
  <c r="E209" i="2"/>
  <c r="D208" i="2"/>
  <c r="E208" i="2"/>
  <c r="D207" i="2"/>
  <c r="E207" i="2"/>
  <c r="D205" i="2"/>
  <c r="D206" i="2"/>
  <c r="E205" i="2"/>
  <c r="E206" i="2"/>
  <c r="D204" i="2"/>
  <c r="E204" i="2"/>
  <c r="D203" i="2"/>
  <c r="E203" i="2"/>
  <c r="D202" i="2"/>
  <c r="E202" i="2"/>
  <c r="D201" i="2"/>
  <c r="E201" i="2"/>
  <c r="D200" i="2"/>
  <c r="E200" i="2"/>
  <c r="D199" i="2"/>
  <c r="E199" i="2"/>
  <c r="D198" i="2"/>
  <c r="E198" i="2"/>
  <c r="D197" i="2"/>
  <c r="E197" i="2"/>
  <c r="D196" i="2"/>
  <c r="E196" i="2"/>
  <c r="D195" i="2"/>
  <c r="E195" i="2"/>
  <c r="D194" i="2"/>
  <c r="E194" i="2"/>
  <c r="D193" i="2"/>
  <c r="E193" i="2"/>
  <c r="D192" i="2"/>
  <c r="E192" i="2"/>
  <c r="D191" i="2"/>
  <c r="E191" i="2"/>
  <c r="D189" i="2"/>
  <c r="D190" i="2"/>
  <c r="E189" i="2"/>
  <c r="E190" i="2"/>
  <c r="D187" i="2"/>
  <c r="D188" i="2"/>
  <c r="E187" i="2"/>
  <c r="E188" i="2"/>
  <c r="D185" i="2"/>
  <c r="D186" i="2"/>
  <c r="E185" i="2"/>
  <c r="E186" i="2"/>
  <c r="D183" i="2"/>
  <c r="D184" i="2"/>
  <c r="E183" i="2"/>
  <c r="E184" i="2"/>
  <c r="D181" i="2"/>
  <c r="E181" i="2"/>
  <c r="D182" i="2"/>
  <c r="E182" i="2"/>
  <c r="D180" i="2"/>
  <c r="E180" i="2"/>
  <c r="D179" i="2"/>
  <c r="E179" i="2"/>
  <c r="D178" i="2"/>
  <c r="E178" i="2"/>
  <c r="D176" i="2"/>
  <c r="D177" i="2"/>
  <c r="E176" i="2"/>
  <c r="E177" i="2"/>
  <c r="D175" i="2"/>
  <c r="E175" i="2"/>
  <c r="D174" i="2"/>
  <c r="E174" i="2"/>
  <c r="D172" i="2"/>
  <c r="D173" i="2"/>
  <c r="E172" i="2"/>
  <c r="E173" i="2"/>
  <c r="D171" i="2"/>
  <c r="E171" i="2"/>
  <c r="D170" i="2"/>
  <c r="E170" i="2"/>
  <c r="D169" i="2"/>
  <c r="E169" i="2"/>
  <c r="D168" i="2"/>
  <c r="E168" i="2"/>
  <c r="D166" i="2"/>
  <c r="D167" i="2"/>
  <c r="E166" i="2"/>
  <c r="E167" i="2"/>
  <c r="D164" i="2"/>
  <c r="D165" i="2"/>
  <c r="E164" i="2"/>
  <c r="E165" i="2"/>
  <c r="D162" i="2"/>
  <c r="D163" i="2"/>
  <c r="E162" i="2"/>
  <c r="E163" i="2"/>
  <c r="D161" i="2"/>
  <c r="E161" i="2"/>
  <c r="D159" i="2"/>
  <c r="D160" i="2"/>
  <c r="E159" i="2"/>
  <c r="E160" i="2"/>
  <c r="D157" i="2"/>
  <c r="D158" i="2"/>
  <c r="E157" i="2"/>
  <c r="E158" i="2"/>
  <c r="D155" i="2"/>
  <c r="D156" i="2"/>
  <c r="E155" i="2"/>
  <c r="E156" i="2"/>
  <c r="D153" i="2"/>
  <c r="D154" i="2"/>
  <c r="E153" i="2"/>
  <c r="E154" i="2"/>
  <c r="D151" i="2"/>
  <c r="D152" i="2"/>
  <c r="E151" i="2"/>
  <c r="E152" i="2"/>
  <c r="D149" i="2"/>
  <c r="D150" i="2"/>
  <c r="E149" i="2"/>
  <c r="E150" i="2"/>
  <c r="D147" i="2"/>
  <c r="D148" i="2"/>
  <c r="E147" i="2"/>
  <c r="E148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E145" i="2"/>
  <c r="E146" i="2"/>
  <c r="E143" i="2"/>
  <c r="E144" i="2"/>
  <c r="E2" i="2"/>
  <c r="D3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D30" i="3"/>
  <c r="D23" i="3"/>
  <c r="D18" i="3"/>
  <c r="D22" i="3"/>
  <c r="D25" i="3"/>
  <c r="D21" i="3"/>
  <c r="D27" i="3"/>
  <c r="D28" i="3"/>
  <c r="D19" i="3"/>
  <c r="D26" i="3"/>
  <c r="D24" i="3"/>
  <c r="D15" i="3"/>
  <c r="D17" i="3"/>
  <c r="D16" i="3"/>
  <c r="D20" i="3"/>
  <c r="D29" i="3"/>
</calcChain>
</file>

<file path=xl/sharedStrings.xml><?xml version="1.0" encoding="utf-8"?>
<sst xmlns="http://schemas.openxmlformats.org/spreadsheetml/2006/main" count="1097" uniqueCount="246">
  <si>
    <t>ROBERTO SABAN</t>
  </si>
  <si>
    <t>EJERCICIO</t>
  </si>
  <si>
    <t xml:space="preserve">SERIES </t>
  </si>
  <si>
    <t>CARGA</t>
  </si>
  <si>
    <t>DIA 1</t>
  </si>
  <si>
    <t>PRESS PLANO</t>
  </si>
  <si>
    <t>15-15-12-10</t>
  </si>
  <si>
    <t>10-10-15-20</t>
  </si>
  <si>
    <t>PRESS INCLINADO</t>
  </si>
  <si>
    <t>10-15-20-25</t>
  </si>
  <si>
    <t>APERTURAS</t>
  </si>
  <si>
    <t>10-10-10-10</t>
  </si>
  <si>
    <t>7.5x2 10x2</t>
  </si>
  <si>
    <t>PRESS ARNOLD</t>
  </si>
  <si>
    <t>12-12-10-10</t>
  </si>
  <si>
    <t>10x2 12.5x2</t>
  </si>
  <si>
    <t>VUELO LATERAL</t>
  </si>
  <si>
    <t>7.5x4</t>
  </si>
  <si>
    <t>EXTENSION TRICEPS</t>
  </si>
  <si>
    <t>12-12-12-12</t>
  </si>
  <si>
    <t>50x4</t>
  </si>
  <si>
    <t>EXTENSION TRANSNUCA</t>
  </si>
  <si>
    <t>30x4</t>
  </si>
  <si>
    <t>DIA 2</t>
  </si>
  <si>
    <t>TIRON AL PECHO</t>
  </si>
  <si>
    <t>60-70-80-90</t>
  </si>
  <si>
    <t>REMO BAJO</t>
  </si>
  <si>
    <t>60-70-80-99</t>
  </si>
  <si>
    <t>SERRUCHO</t>
  </si>
  <si>
    <t>PULL-OVER</t>
  </si>
  <si>
    <t>15-15-17,5-17,5</t>
  </si>
  <si>
    <t>CURL CON BARRA</t>
  </si>
  <si>
    <t>15-15-12-12</t>
  </si>
  <si>
    <t>5-5-10-12.5</t>
  </si>
  <si>
    <t>ALTERNADO MANCUE</t>
  </si>
  <si>
    <t>DIA 3</t>
  </si>
  <si>
    <t>PRENSA 45*</t>
  </si>
  <si>
    <t>15-12-10-10</t>
  </si>
  <si>
    <t>40-40-50-70</t>
  </si>
  <si>
    <t>HACK</t>
  </si>
  <si>
    <t>EXTENS CUADRICEPS</t>
  </si>
  <si>
    <t>30-35-40-45</t>
  </si>
  <si>
    <t>CURL FEMORAL</t>
  </si>
  <si>
    <t>GEMELOS</t>
  </si>
  <si>
    <t>15-15-15-15</t>
  </si>
  <si>
    <t>DIA 1 PECHO 12</t>
  </si>
  <si>
    <t>15-12-10-08</t>
  </si>
  <si>
    <t>15-12-10-8</t>
  </si>
  <si>
    <t>20-20-30-30</t>
  </si>
  <si>
    <t>PEK DEK</t>
  </si>
  <si>
    <t>10x4</t>
  </si>
  <si>
    <t>25x2 30x2</t>
  </si>
  <si>
    <t>APERTURA INCLINADO</t>
  </si>
  <si>
    <t xml:space="preserve"> 7,5x2 10x2</t>
  </si>
  <si>
    <t>ABS BAJOS</t>
  </si>
  <si>
    <t>4x15</t>
  </si>
  <si>
    <t>ABS SUPERIOR</t>
  </si>
  <si>
    <t>4x20</t>
  </si>
  <si>
    <t>ABS CRUZADOS</t>
  </si>
  <si>
    <t>CARDIO</t>
  </si>
  <si>
    <t>DIA 2 ESPALDA 11</t>
  </si>
  <si>
    <t>REMO ALTO</t>
  </si>
  <si>
    <t>70-80-90-100</t>
  </si>
  <si>
    <t>REMO ABIERTO</t>
  </si>
  <si>
    <t>15-12-8-6</t>
  </si>
  <si>
    <t>REMO C/BARRA INVERT</t>
  </si>
  <si>
    <t>PULL-OVER POLEA</t>
  </si>
  <si>
    <t>12x4</t>
  </si>
  <si>
    <t>30x2 35x2</t>
  </si>
  <si>
    <t>PULL-OVER MANCUERNA</t>
  </si>
  <si>
    <t>15x2 17.5x2</t>
  </si>
  <si>
    <t>DIA 3 PIERNAS 4</t>
  </si>
  <si>
    <t>SENTADILLA</t>
  </si>
  <si>
    <t>15x4</t>
  </si>
  <si>
    <t>PRENSA</t>
  </si>
  <si>
    <t>20-25-30-35</t>
  </si>
  <si>
    <t>20x2 25x2</t>
  </si>
  <si>
    <t>PESO MUERTO</t>
  </si>
  <si>
    <t>CAMILLA FEMORAL</t>
  </si>
  <si>
    <t>DIA 4 HOMBROS 11</t>
  </si>
  <si>
    <t>PRESS MILITAR</t>
  </si>
  <si>
    <t>VUELOS LATERALES</t>
  </si>
  <si>
    <t>REMO AL MENTON</t>
  </si>
  <si>
    <t>2x10</t>
  </si>
  <si>
    <t>VUELOS FRONTALES</t>
  </si>
  <si>
    <t>POSTERIORES MAQUINA</t>
  </si>
  <si>
    <t>DIA 5 BRAZOS 9</t>
  </si>
  <si>
    <t>12x2 10x2</t>
  </si>
  <si>
    <t>5x2</t>
  </si>
  <si>
    <t>BANCO SCOTT</t>
  </si>
  <si>
    <t>2.5x2</t>
  </si>
  <si>
    <t>MARTILLO</t>
  </si>
  <si>
    <t>EMPUJES</t>
  </si>
  <si>
    <t>FRANCÉS C/MANCUERNA</t>
  </si>
  <si>
    <t>EXTENSIÓN TRICEPS</t>
  </si>
  <si>
    <t>DIA 1 PECHO 11</t>
  </si>
  <si>
    <t>25-30-35-40</t>
  </si>
  <si>
    <t>20-30-30-35</t>
  </si>
  <si>
    <t>3x10 (desc)</t>
  </si>
  <si>
    <t>40 (10)</t>
  </si>
  <si>
    <t>TIRON ABIERTO</t>
  </si>
  <si>
    <t>80-90-100-110</t>
  </si>
  <si>
    <t xml:space="preserve">12x4 (desc) </t>
  </si>
  <si>
    <t>90 (40)</t>
  </si>
  <si>
    <t>DIA 3 PIERNAS 1</t>
  </si>
  <si>
    <t>15-15-10-10</t>
  </si>
  <si>
    <t>ESTOCADAS</t>
  </si>
  <si>
    <t>10x3</t>
  </si>
  <si>
    <t>SILLON</t>
  </si>
  <si>
    <t>15x3</t>
  </si>
  <si>
    <t>CAMILLA</t>
  </si>
  <si>
    <t>12x3</t>
  </si>
  <si>
    <t>20x4</t>
  </si>
  <si>
    <t>PRESS MILITAR SMITH</t>
  </si>
  <si>
    <t>PRESS MANCUERNA</t>
  </si>
  <si>
    <t>7,5</t>
  </si>
  <si>
    <t>VUELO POSTERIOR</t>
  </si>
  <si>
    <t>CURL SCOTT +</t>
  </si>
  <si>
    <t>FRANCÉS</t>
  </si>
  <si>
    <t>CURL DE PIE +</t>
  </si>
  <si>
    <t>TRANSNUCA MANCUERNA</t>
  </si>
  <si>
    <t>ALTERNADO +</t>
  </si>
  <si>
    <t>EXTENSIÓN SOGA</t>
  </si>
  <si>
    <t>APERTURA PLANA</t>
  </si>
  <si>
    <t>4x10</t>
  </si>
  <si>
    <t>PRESS PLANO BARRA</t>
  </si>
  <si>
    <t>10-10-8-8</t>
  </si>
  <si>
    <t>PRESS INCLINADO MANC</t>
  </si>
  <si>
    <t>15-20</t>
  </si>
  <si>
    <t>PRESS PLANO SMITH</t>
  </si>
  <si>
    <t>3x15</t>
  </si>
  <si>
    <t>‘+ NEGATIVA 4seg</t>
  </si>
  <si>
    <t>90-100-110-120</t>
  </si>
  <si>
    <t>100 (40)</t>
  </si>
  <si>
    <t>SENTADILLA LIBRE</t>
  </si>
  <si>
    <t>SENTADILLA SMITH</t>
  </si>
  <si>
    <t>30-30-40-45</t>
  </si>
  <si>
    <t>5-10-15-20</t>
  </si>
  <si>
    <t>SENTADILLA SUMO</t>
  </si>
  <si>
    <t>ELEVACIÓN CADERA</t>
  </si>
  <si>
    <t>PANTORRILLA</t>
  </si>
  <si>
    <t>4x20 + 20</t>
  </si>
  <si>
    <t>PRESS ARNOLD MANCUERNA</t>
  </si>
  <si>
    <t>20-15-12-10</t>
  </si>
  <si>
    <t>7.5x2</t>
  </si>
  <si>
    <t>VUELO COMBINADO</t>
  </si>
  <si>
    <t>5x4</t>
  </si>
  <si>
    <t>7.5</t>
  </si>
  <si>
    <t>DIA 5 BRAZOS 8</t>
  </si>
  <si>
    <t>13-13-15-17</t>
  </si>
  <si>
    <t>CONCENTRADO</t>
  </si>
  <si>
    <t>3x10</t>
  </si>
  <si>
    <t>EMPUJE</t>
  </si>
  <si>
    <t>PRESS FRANCES</t>
  </si>
  <si>
    <t>VIDEO CARDIO</t>
  </si>
  <si>
    <t>VUELO LATERIAL</t>
  </si>
  <si>
    <t>VUELO FRONTAL</t>
  </si>
  <si>
    <t>CURL CON MANC</t>
  </si>
  <si>
    <t>PRESS</t>
  </si>
  <si>
    <t>APERTURA</t>
  </si>
  <si>
    <t>HOMBROS SENTADO</t>
  </si>
  <si>
    <t>DIA 1 PECHO 1</t>
  </si>
  <si>
    <t>DIA 2 ESPALDA 0</t>
  </si>
  <si>
    <t>DIA 3 PIERNAS 0</t>
  </si>
  <si>
    <t>DELTOIDES</t>
  </si>
  <si>
    <t>ROUTINE NAME</t>
  </si>
  <si>
    <t>AREA</t>
  </si>
  <si>
    <t>DATE</t>
  </si>
  <si>
    <t>Grand Total</t>
  </si>
  <si>
    <t>CHEST</t>
  </si>
  <si>
    <t>BACK</t>
  </si>
  <si>
    <t>SHOULDERS</t>
  </si>
  <si>
    <t>ARMS</t>
  </si>
  <si>
    <t>QUARANTINE</t>
  </si>
  <si>
    <t>2024-08</t>
  </si>
  <si>
    <t>2024-09</t>
  </si>
  <si>
    <t>Observations</t>
  </si>
  <si>
    <t>restarted training</t>
  </si>
  <si>
    <t>weaker right arm</t>
  </si>
  <si>
    <t>soreness</t>
  </si>
  <si>
    <t>MONTH</t>
  </si>
  <si>
    <t>TRICEPS</t>
  </si>
  <si>
    <t>WORKOUT SESSIONS SUMMARY</t>
  </si>
  <si>
    <t>push was too easy. changed all weights to better track changes</t>
  </si>
  <si>
    <t>subiendo para la proxima</t>
  </si>
  <si>
    <t>ELLIPTICAL</t>
  </si>
  <si>
    <t>20min, level 3</t>
  </si>
  <si>
    <t>2024-10</t>
  </si>
  <si>
    <t>DIA 4 HOMBROS 9</t>
  </si>
  <si>
    <t>20min, level 4</t>
  </si>
  <si>
    <t>DIA 4 SHOULDERS</t>
  </si>
  <si>
    <t>DAY 3 CARDIO</t>
  </si>
  <si>
    <t>DAY 2 BACK</t>
  </si>
  <si>
    <t xml:space="preserve">DAY 1 CHEST </t>
  </si>
  <si>
    <t xml:space="preserve">DIA 5 ARMS </t>
  </si>
  <si>
    <t xml:space="preserve">DAY 6 TRICEPS </t>
  </si>
  <si>
    <t>CURL MARTILLO</t>
  </si>
  <si>
    <t>20min, burst every 5min for 1 minute level 4</t>
  </si>
  <si>
    <t>Started DIET for 2 weeks</t>
  </si>
  <si>
    <t>Weight (kg)</t>
  </si>
  <si>
    <t>increased deltoids</t>
  </si>
  <si>
    <t>increased weight progression</t>
  </si>
  <si>
    <t>increased weight 5lbs</t>
  </si>
  <si>
    <t>20min, burst every 5min for 2 minutes level 4</t>
  </si>
  <si>
    <t>30min</t>
  </si>
  <si>
    <t>20min, burst every 5min for 5 minutes level 4</t>
  </si>
  <si>
    <t>2024-11</t>
  </si>
  <si>
    <t>PULL-OVER MANCUERNA INC 3</t>
  </si>
  <si>
    <t>PARADO C/GRIP INC 3</t>
  </si>
  <si>
    <t>20min, level 5</t>
  </si>
  <si>
    <t>Days Skipped</t>
  </si>
  <si>
    <t>Workouts</t>
  </si>
  <si>
    <t>Skipped</t>
  </si>
  <si>
    <t>20min, burst every 5min for 1 minute level 5</t>
  </si>
  <si>
    <t>PRESS INCLINADO INC 2</t>
  </si>
  <si>
    <t>18-15-12-10</t>
  </si>
  <si>
    <t>2024-12</t>
  </si>
  <si>
    <t>Concert</t>
  </si>
  <si>
    <t>PRESS FRANCES INC 3</t>
  </si>
  <si>
    <t>TRICEPS MANC NUCA INC 3</t>
  </si>
  <si>
    <t>20min, burst every 5min for 1 minute level 6</t>
  </si>
  <si>
    <t>20min</t>
  </si>
  <si>
    <t>went on vacation</t>
  </si>
  <si>
    <t>2025-01</t>
  </si>
  <si>
    <t>WALKING</t>
  </si>
  <si>
    <t>60min</t>
  </si>
  <si>
    <t>Back from vacation. Taking it easy</t>
  </si>
  <si>
    <t>2025-02</t>
  </si>
  <si>
    <t>restarting after sickness</t>
  </si>
  <si>
    <t>2025-03</t>
  </si>
  <si>
    <t>restarting (train for event)</t>
  </si>
  <si>
    <t>2025-04</t>
  </si>
  <si>
    <t>2025-05</t>
  </si>
  <si>
    <t>STARTING AFTER LONG HIATUS</t>
  </si>
  <si>
    <t>2025-07</t>
  </si>
  <si>
    <t>2025-08</t>
  </si>
  <si>
    <t>20 min</t>
  </si>
  <si>
    <t>STARTING AGAIN… HOPEFULLY REALLY THIS TIME</t>
  </si>
  <si>
    <t xml:space="preserve">STARTING AGAIN… </t>
  </si>
  <si>
    <t>2025-09</t>
  </si>
  <si>
    <t>2025-10</t>
  </si>
  <si>
    <t>2025-11</t>
  </si>
  <si>
    <t>2025-12</t>
  </si>
  <si>
    <t>15-20-25-30</t>
  </si>
  <si>
    <t>35-40-45-50</t>
  </si>
  <si>
    <t>2026-01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</si>
</sst>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8" x14ac:knownFonts="1">
    <font>
      <sz val="11"/>
      <color theme="1"/>
      <name val="Calibri Light"/>
      <family val="2"/>
      <scheme val="minor"/>
    </font>
    <font>
      <sz val="12"/>
      <color theme="1" tint="0.749992370372631"/>
      <name val="Calibri Light"/>
      <family val="2"/>
      <scheme val="minor"/>
    </font>
    <font>
      <sz val="12"/>
      <color theme="0"/>
      <name val="Calibri Light"/>
      <family val="2"/>
      <scheme val="minor"/>
    </font>
    <font>
      <b/>
      <sz val="12"/>
      <color theme="0"/>
      <name val="Calibri Light"/>
      <family val="2"/>
      <scheme val="minor"/>
    </font>
    <font>
      <sz val="8"/>
      <name val="Calibri Light"/>
      <family val="2"/>
      <scheme val="minor"/>
    </font>
    <font>
      <sz val="11"/>
      <color theme="0"/>
      <name val="Calibri Light"/>
      <family val="2"/>
      <scheme val="minor"/>
    </font>
    <font>
      <sz val="11"/>
      <color theme="1"/>
      <name val="Calibri Light"/>
      <family val="2"/>
      <scheme val="minor"/>
    </font>
    <font>
      <b/>
      <sz val="11"/>
      <color theme="0"/>
      <name val="Calibri Light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9.9978637043366805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</fills>
  <borders count="20">
    <border>
      <left/>
      <right/>
      <top/>
      <bottom/>
      <diagonal/>
    </border>
    <border>
      <left style="thin">
        <color theme="1" tint="0.89999084444715716"/>
      </left>
      <right style="thin">
        <color theme="1" tint="0.89999084444715716"/>
      </right>
      <top style="thin">
        <color theme="1" tint="0.89999084444715716"/>
      </top>
      <bottom style="thin">
        <color theme="1" tint="0.89999084444715716"/>
      </bottom>
      <diagonal/>
    </border>
    <border>
      <left/>
      <right style="thin">
        <color theme="1" tint="0.89999084444715716"/>
      </right>
      <top style="thin">
        <color theme="1" tint="0.89999084444715716"/>
      </top>
      <bottom style="thin">
        <color theme="1" tint="0.89999084444715716"/>
      </bottom>
      <diagonal/>
    </border>
    <border>
      <left style="thin">
        <color theme="1" tint="0.89999084444715716"/>
      </left>
      <right style="thin">
        <color theme="1" tint="0.89999084444715716"/>
      </right>
      <top style="thin">
        <color theme="1" tint="0.89999084444715716"/>
      </top>
      <bottom/>
      <diagonal/>
    </border>
    <border>
      <left style="thin">
        <color theme="1" tint="0.89999084444715716"/>
      </left>
      <right style="thin">
        <color theme="1" tint="0.89999084444715716"/>
      </right>
      <top/>
      <bottom style="thin">
        <color theme="1" tint="0.89999084444715716"/>
      </bottom>
      <diagonal/>
    </border>
    <border>
      <left style="thin">
        <color theme="1" tint="0.89999084444715716"/>
      </left>
      <right style="thin">
        <color theme="1" tint="0.89999084444715716"/>
      </right>
      <top/>
      <bottom/>
      <diagonal/>
    </border>
    <border>
      <left style="thin">
        <color rgb="FF505050"/>
      </left>
      <right style="thin">
        <color theme="1" tint="0.89999084444715716"/>
      </right>
      <top style="thin">
        <color rgb="FF505050"/>
      </top>
      <bottom style="thin">
        <color theme="1" tint="0.89999084444715716"/>
      </bottom>
      <diagonal/>
    </border>
    <border>
      <left style="thin">
        <color theme="1" tint="0.89999084444715716"/>
      </left>
      <right style="thin">
        <color theme="1" tint="0.89999084444715716"/>
      </right>
      <top style="thin">
        <color rgb="FF505050"/>
      </top>
      <bottom style="thin">
        <color theme="1" tint="0.89999084444715716"/>
      </bottom>
      <diagonal/>
    </border>
    <border>
      <left style="thin">
        <color theme="1" tint="0.89999084444715716"/>
      </left>
      <right style="thin">
        <color rgb="FF505050"/>
      </right>
      <top style="thin">
        <color rgb="FF505050"/>
      </top>
      <bottom style="thin">
        <color theme="1" tint="0.89999084444715716"/>
      </bottom>
      <diagonal/>
    </border>
    <border>
      <left style="thin">
        <color rgb="FF505050"/>
      </left>
      <right style="thin">
        <color theme="1" tint="0.89999084444715716"/>
      </right>
      <top style="thin">
        <color theme="1" tint="0.89999084444715716"/>
      </top>
      <bottom style="thin">
        <color theme="1" tint="0.89999084444715716"/>
      </bottom>
      <diagonal/>
    </border>
    <border>
      <left style="thin">
        <color theme="1" tint="0.89999084444715716"/>
      </left>
      <right style="thin">
        <color rgb="FF505050"/>
      </right>
      <top style="thin">
        <color theme="1" tint="0.89999084444715716"/>
      </top>
      <bottom style="thin">
        <color theme="1" tint="0.89999084444715716"/>
      </bottom>
      <diagonal/>
    </border>
    <border>
      <left style="thin">
        <color rgb="FF505050"/>
      </left>
      <right style="thin">
        <color theme="1" tint="0.89999084444715716"/>
      </right>
      <top style="thin">
        <color theme="1" tint="0.89999084444715716"/>
      </top>
      <bottom style="thin">
        <color rgb="FF505050"/>
      </bottom>
      <diagonal/>
    </border>
    <border>
      <left style="thin">
        <color theme="1" tint="0.89999084444715716"/>
      </left>
      <right style="thin">
        <color theme="1" tint="0.89999084444715716"/>
      </right>
      <top style="thin">
        <color theme="1" tint="0.89999084444715716"/>
      </top>
      <bottom style="thin">
        <color rgb="FF505050"/>
      </bottom>
      <diagonal/>
    </border>
    <border>
      <left style="thin">
        <color theme="1" tint="0.89999084444715716"/>
      </left>
      <right style="thin">
        <color rgb="FF505050"/>
      </right>
      <top style="thin">
        <color theme="1" tint="0.89999084444715716"/>
      </top>
      <bottom style="thin">
        <color rgb="FF505050"/>
      </bottom>
      <diagonal/>
    </border>
    <border>
      <left style="thin">
        <color rgb="FF505050"/>
      </left>
      <right style="thin">
        <color theme="1" tint="0.89999084444715716"/>
      </right>
      <top/>
      <bottom style="thin">
        <color theme="1" tint="0.89999084444715716"/>
      </bottom>
      <diagonal/>
    </border>
    <border>
      <left style="thin">
        <color theme="1" tint="0.89999084444715716"/>
      </left>
      <right style="thin">
        <color rgb="FF505050"/>
      </right>
      <top/>
      <bottom style="thin">
        <color theme="1" tint="0.89999084444715716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 style="thin">
        <color rgb="FF505050"/>
      </top>
      <bottom/>
      <diagonal/>
    </border>
    <border>
      <left/>
      <right/>
      <top/>
      <bottom style="thin">
        <color rgb="FF505050"/>
      </bottom>
      <diagonal/>
    </border>
    <border>
      <left/>
      <right/>
      <top/>
      <bottom style="medium">
        <color theme="4" tint="0.39997558519241921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67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/>
    <xf numFmtId="0" fontId="1" fillId="2" borderId="2" xfId="0" applyFont="1" applyFill="1" applyBorder="1"/>
    <xf numFmtId="0" fontId="1" fillId="2" borderId="9" xfId="0" applyFont="1" applyFill="1" applyBorder="1"/>
    <xf numFmtId="0" fontId="1" fillId="2" borderId="10" xfId="0" applyFont="1" applyFill="1" applyBorder="1" applyAlignment="1">
      <alignment horizontal="center"/>
    </xf>
    <xf numFmtId="0" fontId="2" fillId="2" borderId="9" xfId="0" applyFont="1" applyFill="1" applyBorder="1"/>
    <xf numFmtId="0" fontId="2" fillId="2" borderId="10" xfId="0" applyFont="1" applyFill="1" applyBorder="1" applyAlignment="1">
      <alignment horizontal="center"/>
    </xf>
    <xf numFmtId="49" fontId="2" fillId="2" borderId="9" xfId="0" applyNumberFormat="1" applyFont="1" applyFill="1" applyBorder="1"/>
    <xf numFmtId="0" fontId="2" fillId="2" borderId="11" xfId="0" applyFont="1" applyFill="1" applyBorder="1"/>
    <xf numFmtId="0" fontId="2" fillId="2" borderId="1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2" borderId="16" xfId="0" applyFont="1" applyFill="1" applyBorder="1"/>
    <xf numFmtId="0" fontId="2" fillId="2" borderId="16" xfId="0" applyFont="1" applyFill="1" applyBorder="1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left" indent="1"/>
    </xf>
    <xf numFmtId="164" fontId="0" fillId="0" borderId="0" xfId="0" applyNumberFormat="1" applyAlignment="1">
      <alignment horizontal="left" vertical="center"/>
    </xf>
    <xf numFmtId="49" fontId="0" fillId="0" borderId="0" xfId="0" applyNumberFormat="1"/>
    <xf numFmtId="0" fontId="5" fillId="3" borderId="0" xfId="0" applyFont="1" applyFill="1" applyAlignment="1">
      <alignment horizontal="left"/>
    </xf>
    <xf numFmtId="49" fontId="0" fillId="0" borderId="0" xfId="0" applyNumberFormat="1" applyAlignment="1">
      <alignment horizontal="left" vertical="center" indent="1"/>
    </xf>
    <xf numFmtId="49" fontId="0" fillId="0" borderId="0" xfId="0" applyNumberFormat="1" applyAlignment="1">
      <alignment horizontal="left" indent="1"/>
    </xf>
    <xf numFmtId="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vertical="center"/>
    </xf>
    <xf numFmtId="2" fontId="0" fillId="0" borderId="0" xfId="0" applyNumberFormat="1"/>
    <xf numFmtId="0" fontId="2" fillId="2" borderId="9" xfId="0" applyFont="1" applyFill="1" applyBorder="1" applyAlignment="1">
      <alignment wrapText="1"/>
    </xf>
    <xf numFmtId="1" fontId="0" fillId="0" borderId="0" xfId="0" applyNumberFormat="1"/>
    <xf numFmtId="1" fontId="0" fillId="0" borderId="0" xfId="0" applyNumberFormat="1" applyAlignment="1">
      <alignment horizontal="right"/>
    </xf>
    <xf numFmtId="0" fontId="5" fillId="4" borderId="0" xfId="0" applyFont="1" applyFill="1" applyAlignment="1">
      <alignment horizontal="center" vertical="center"/>
    </xf>
    <xf numFmtId="10" fontId="0" fillId="0" borderId="0" xfId="1" applyNumberFormat="1" applyFont="1"/>
    <xf numFmtId="0" fontId="7" fillId="4" borderId="19" xfId="0" applyFont="1" applyFill="1" applyBorder="1"/>
    <xf numFmtId="0" fontId="7" fillId="3" borderId="19" xfId="0" applyFont="1" applyFill="1" applyBorder="1" applyAlignment="1">
      <alignment horizontal="left"/>
    </xf>
    <xf numFmtId="1" fontId="7" fillId="3" borderId="19" xfId="0" applyNumberFormat="1" applyFont="1" applyFill="1" applyBorder="1"/>
    <xf numFmtId="0" fontId="7" fillId="4" borderId="19" xfId="0" applyFont="1" applyFill="1" applyBorder="1" applyAlignment="1">
      <alignment horizontal="center"/>
    </xf>
    <xf numFmtId="0" fontId="7" fillId="4" borderId="19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2" borderId="16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0" fillId="0" borderId="0" xfId="0" applyNumberFormat="1"/>
    <xf numFmtId="0" fontId="0" fillId="0" borderId="0" xfId="0" applyNumberFormat="1" applyAlignment="1">
      <alignment horizontal="right"/>
    </xf>
    <xf numFmtId="0" fontId="7" fillId="3" borderId="19" xfId="0" applyNumberFormat="1" applyFont="1" applyFill="1" applyBorder="1"/>
    <xf numFmtId="0" fontId="5" fillId="3" borderId="0" xfId="0" applyNumberFormat="1" applyFont="1" applyFill="1" applyAlignment="1">
      <alignment horizontal="right"/>
    </xf>
    <xf numFmtId="0" fontId="5" fillId="3" borderId="0" xfId="0" applyNumberFormat="1" applyFont="1" applyFill="1"/>
  </cellXfs>
  <cellStyles count="2">
    <cellStyle name="Normal" xfId="0" builtinId="0"/>
    <cellStyle name="Percent" xfId="1" builtinId="5"/>
  </cellStyles>
  <dxfs count="115">
    <dxf>
      <alignment horizontal="right"/>
    </dxf>
    <dxf>
      <alignment horizontal="right"/>
    </dxf>
    <dxf>
      <alignment horizontal="right"/>
    </dxf>
    <dxf>
      <fill>
        <patternFill patternType="solid">
          <bgColor theme="0" tint="-0.24994659260841701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1" tint="0.499984740745262"/>
        </patternFill>
      </fill>
    </dxf>
    <dxf>
      <fill>
        <patternFill patternType="solid">
          <bgColor theme="1" tint="0.49998474074526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 Light"/>
        <family val="2"/>
        <scheme val="minor"/>
      </font>
      <border diagonalUp="0" diagonalDown="0" outline="0">
        <left/>
        <right/>
        <top/>
        <bottom style="medium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 Light"/>
        <family val="2"/>
        <scheme val="minor"/>
      </font>
      <border diagonalUp="0" diagonalDown="0" outline="0">
        <left/>
        <right/>
        <top/>
        <bottom style="medium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 Light"/>
        <family val="2"/>
        <scheme val="minor"/>
      </font>
      <border diagonalUp="0" diagonalDown="0" outline="0">
        <left/>
        <right/>
        <top/>
        <bottom style="medium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 Light"/>
        <family val="2"/>
        <scheme val="minor"/>
      </font>
      <border diagonalUp="0" diagonalDown="0" outline="0">
        <left/>
        <right/>
        <top/>
        <bottom style="medium">
          <color theme="4" tint="0.39997558519241921"/>
        </bottom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alignment horizontal="right"/>
    </dxf>
    <dxf>
      <alignment horizontal="right"/>
    </dxf>
    <dxf>
      <alignment horizontal="right"/>
    </dxf>
    <dxf>
      <fill>
        <patternFill patternType="solid">
          <bgColor theme="0" tint="-0.24994659260841701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1" tint="0.499984740745262"/>
        </patternFill>
      </fill>
    </dxf>
    <dxf>
      <fill>
        <patternFill patternType="solid">
          <bgColor theme="1" tint="0.49998474074526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alignment vertical="center" indent="0"/>
    </dxf>
    <dxf>
      <alignment horizontal="center"/>
    </dxf>
    <dxf>
      <fill>
        <patternFill>
          <bgColor theme="1"/>
        </patternFill>
      </fill>
    </dxf>
    <dxf>
      <fill>
        <patternFill patternType="solid">
          <bgColor theme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 Light"/>
        <family val="2"/>
        <scheme val="minor"/>
      </font>
      <border diagonalUp="0" diagonalDown="0" outline="0">
        <left/>
        <right/>
        <top/>
        <bottom style="medium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 Light"/>
        <family val="2"/>
        <scheme val="minor"/>
      </font>
      <border diagonalUp="0" diagonalDown="0" outline="0">
        <left/>
        <right/>
        <top/>
        <bottom style="medium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 Light"/>
        <family val="2"/>
        <scheme val="minor"/>
      </font>
      <border diagonalUp="0" diagonalDown="0" outline="0">
        <left/>
        <right/>
        <top/>
        <bottom style="medium">
          <color theme="4" tint="0.39997558519241921"/>
        </bottom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 Light"/>
        <family val="2"/>
        <scheme val="minor"/>
      </font>
      <border diagonalUp="0" diagonalDown="0" outline="0">
        <left/>
        <right/>
        <top/>
        <bottom style="medium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 Light"/>
        <family val="2"/>
        <scheme val="minor"/>
      </font>
      <border diagonalUp="0" diagonalDown="0" outline="0">
        <left/>
        <right/>
        <top/>
        <bottom style="medium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 Light"/>
        <family val="2"/>
        <scheme val="minor"/>
      </font>
      <border diagonalUp="0" diagonalDown="0" outline="0">
        <left/>
        <right/>
        <top/>
        <bottom style="medium">
          <color theme="4" tint="0.39997558519241921"/>
        </bottom>
      </border>
    </dxf>
    <dxf>
      <fill>
        <patternFill patternType="solid">
          <bgColor theme="1"/>
        </patternFill>
      </fill>
    </dxf>
    <dxf>
      <fill>
        <patternFill>
          <bgColor theme="1"/>
        </patternFill>
      </fill>
    </dxf>
    <dxf>
      <alignment horizontal="center"/>
    </dxf>
    <dxf>
      <alignment vertical="center" indent="0"/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1" tint="0.499984740745262"/>
        </patternFill>
      </fill>
    </dxf>
    <dxf>
      <fill>
        <patternFill patternType="solid">
          <bgColor theme="1" tint="0.499984740745262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0" tint="-0.24994659260841701"/>
        </patternFill>
      </fill>
    </dxf>
    <dxf>
      <alignment horizontal="right"/>
    </dxf>
    <dxf>
      <alignment horizontal="right"/>
    </dxf>
    <dxf>
      <alignment horizontal="right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 Light"/>
        <family val="2"/>
        <scheme val="minor"/>
      </font>
      <border diagonalUp="0" diagonalDown="0" outline="0">
        <left/>
        <right/>
        <top/>
        <bottom style="medium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 Light"/>
        <family val="2"/>
        <scheme val="minor"/>
      </font>
      <border diagonalUp="0" diagonalDown="0" outline="0">
        <left/>
        <right/>
        <top/>
        <bottom style="medium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 Light"/>
        <family val="2"/>
        <scheme val="minor"/>
      </font>
      <border diagonalUp="0" diagonalDown="0" outline="0">
        <left/>
        <right/>
        <top/>
        <bottom style="medium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 Light"/>
        <family val="2"/>
        <scheme val="minor"/>
      </font>
      <border diagonalUp="0" diagonalDown="0" outline="0">
        <left/>
        <right/>
        <top/>
        <bottom style="medium">
          <color theme="4" tint="0.39997558519241921"/>
        </bottom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1" tint="0.499984740745262"/>
        </patternFill>
      </fill>
    </dxf>
    <dxf>
      <fill>
        <patternFill patternType="solid">
          <bgColor theme="1" tint="0.499984740745262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0" tint="-0.24994659260841701"/>
        </patternFill>
      </fill>
    </dxf>
    <dxf>
      <alignment horizontal="right"/>
    </dxf>
    <dxf>
      <alignment horizontal="right"/>
    </dxf>
    <dxf>
      <alignment horizontal="right"/>
    </dxf>
    <dxf>
      <numFmt numFmtId="2" formatCode="0.00"/>
    </dxf>
    <dxf>
      <numFmt numFmtId="30" formatCode="@"/>
      <alignment horizontal="left" vertical="center" textRotation="0" wrapText="0" indent="1" justifyLastLine="0" shrinkToFit="0" readingOrder="0"/>
    </dxf>
    <dxf>
      <numFmt numFmtId="164" formatCode="[$-F800]dddd\,\ mmmm\ dd\,\ yyyy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64" formatCode="[$-F800]dddd\,\ mmmm\ dd\,\ yyyy"/>
      <alignment horizontal="left" vertical="center" textRotation="0" wrapText="0" indent="0" justifyLastLine="0" shrinkToFit="0" readingOrder="0"/>
    </dxf>
    <dxf>
      <numFmt numFmtId="30" formatCode="@"/>
    </dxf>
    <dxf>
      <numFmt numFmtId="30" formatCode="@"/>
    </dxf>
  </dxfs>
  <tableStyles count="0" defaultTableStyle="TableStyleMedium2" defaultPivotStyle="PivotStyleMedium9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saban" refreshedDate="46048.412353356478" createdVersion="8" refreshedVersion="8" minRefreshableVersion="3" recordCount="294" xr:uid="{4894DA20-CCFF-4B63-8B91-B5727AC4998D}">
  <cacheSource type="worksheet">
    <worksheetSource name="Table1"/>
  </cacheSource>
  <cacheFields count="7">
    <cacheField name="ROUTINE NAME" numFmtId="49">
      <sharedItems containsBlank="1" count="2">
        <s v="QUARANTINE"/>
        <m u="1"/>
      </sharedItems>
    </cacheField>
    <cacheField name="AREA" numFmtId="49">
      <sharedItems containsBlank="1" count="9">
        <s v="CHEST"/>
        <s v="BACK"/>
        <s v="SHOULDERS"/>
        <s v="ARMS"/>
        <s v="TRICEPS"/>
        <s v="ELLIPTICAL"/>
        <s v="WALKING"/>
        <s v="BICEPS" u="1"/>
        <m u="1"/>
      </sharedItems>
    </cacheField>
    <cacheField name="DATE" numFmtId="164">
      <sharedItems containsSemiMixedTypes="0" containsNonDate="0" containsDate="1" containsString="0" minDate="2024-08-29T00:00:00" maxDate="2026-01-27T00:00:00"/>
    </cacheField>
    <cacheField name="Days Skipped" numFmtId="1">
      <sharedItems containsSemiMixedTypes="0" containsString="0" containsNumber="1" containsInteger="1" minValue="0" maxValue="54"/>
    </cacheField>
    <cacheField name="MONTH" numFmtId="164">
      <sharedItems count="18">
        <s v="2024-08"/>
        <s v="2024-09"/>
        <s v="2024-10"/>
        <s v="2024-11"/>
        <s v="2024-12"/>
        <s v="2025-01"/>
        <s v="2025-02"/>
        <s v="2025-03"/>
        <s v="2025-04"/>
        <s v="2025-05"/>
        <s v="2025-07"/>
        <s v="2025-08"/>
        <s v="2025-09"/>
        <s v="2025-10"/>
        <s v="2025-11"/>
        <s v="2025-12"/>
        <s v="2026-01"/>
        <s v="1900-01" u="1"/>
      </sharedItems>
    </cacheField>
    <cacheField name="Observations" numFmtId="49">
      <sharedItems containsBlank="1"/>
    </cacheField>
    <cacheField name="Weight (kg)" numFmtId="2">
      <sharedItems containsString="0" containsBlank="1" containsNumber="1" minValue="78" maxValue="78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4">
  <r>
    <x v="0"/>
    <x v="0"/>
    <d v="2024-08-29T00:00:00"/>
    <n v="0"/>
    <x v="0"/>
    <s v="restarted training"/>
    <m/>
  </r>
  <r>
    <x v="0"/>
    <x v="1"/>
    <d v="2024-08-30T00:00:00"/>
    <n v="0"/>
    <x v="0"/>
    <s v="soreness"/>
    <m/>
  </r>
  <r>
    <x v="0"/>
    <x v="2"/>
    <d v="2024-08-31T00:00:00"/>
    <n v="0"/>
    <x v="0"/>
    <s v="soreness"/>
    <m/>
  </r>
  <r>
    <x v="0"/>
    <x v="3"/>
    <d v="2024-09-01T00:00:00"/>
    <n v="0"/>
    <x v="1"/>
    <s v="weaker right arm"/>
    <m/>
  </r>
  <r>
    <x v="0"/>
    <x v="0"/>
    <d v="2024-09-03T00:00:00"/>
    <n v="1"/>
    <x v="1"/>
    <m/>
    <m/>
  </r>
  <r>
    <x v="0"/>
    <x v="1"/>
    <d v="2024-09-04T00:00:00"/>
    <n v="0"/>
    <x v="1"/>
    <s v="increased deltoids"/>
    <m/>
  </r>
  <r>
    <x v="0"/>
    <x v="2"/>
    <d v="2024-09-06T00:00:00"/>
    <n v="1"/>
    <x v="1"/>
    <s v="increased weight progression"/>
    <m/>
  </r>
  <r>
    <x v="0"/>
    <x v="3"/>
    <d v="2024-09-07T00:00:00"/>
    <n v="0"/>
    <x v="1"/>
    <s v="push was too easy. changed all weights to better track changes"/>
    <m/>
  </r>
  <r>
    <x v="0"/>
    <x v="4"/>
    <d v="2024-09-07T00:00:00"/>
    <n v="0"/>
    <x v="1"/>
    <m/>
    <m/>
  </r>
  <r>
    <x v="0"/>
    <x v="0"/>
    <d v="2024-09-08T00:00:00"/>
    <n v="0"/>
    <x v="1"/>
    <m/>
    <m/>
  </r>
  <r>
    <x v="0"/>
    <x v="1"/>
    <d v="2024-09-11T00:00:00"/>
    <n v="2"/>
    <x v="1"/>
    <m/>
    <m/>
  </r>
  <r>
    <x v="0"/>
    <x v="2"/>
    <d v="2024-09-12T00:00:00"/>
    <n v="0"/>
    <x v="1"/>
    <m/>
    <m/>
  </r>
  <r>
    <x v="0"/>
    <x v="3"/>
    <d v="2024-09-15T00:00:00"/>
    <n v="2"/>
    <x v="1"/>
    <m/>
    <m/>
  </r>
  <r>
    <x v="0"/>
    <x v="4"/>
    <d v="2024-09-15T00:00:00"/>
    <n v="0"/>
    <x v="1"/>
    <m/>
    <m/>
  </r>
  <r>
    <x v="0"/>
    <x v="0"/>
    <d v="2024-09-16T00:00:00"/>
    <n v="0"/>
    <x v="1"/>
    <s v="subiendo para la proxima"/>
    <m/>
  </r>
  <r>
    <x v="0"/>
    <x v="5"/>
    <d v="2024-09-16T00:00:00"/>
    <n v="0"/>
    <x v="1"/>
    <s v="20min, level 3"/>
    <m/>
  </r>
  <r>
    <x v="0"/>
    <x v="1"/>
    <d v="2024-09-17T00:00:00"/>
    <n v="0"/>
    <x v="1"/>
    <s v="increased weight 5lbs"/>
    <m/>
  </r>
  <r>
    <x v="0"/>
    <x v="5"/>
    <d v="2024-09-17T00:00:00"/>
    <n v="0"/>
    <x v="1"/>
    <s v="20min, level 3"/>
    <m/>
  </r>
  <r>
    <x v="0"/>
    <x v="2"/>
    <d v="2024-09-19T00:00:00"/>
    <n v="1"/>
    <x v="1"/>
    <m/>
    <m/>
  </r>
  <r>
    <x v="0"/>
    <x v="5"/>
    <d v="2024-09-19T00:00:00"/>
    <n v="0"/>
    <x v="1"/>
    <s v="20min, level 3"/>
    <m/>
  </r>
  <r>
    <x v="0"/>
    <x v="3"/>
    <d v="2024-09-20T00:00:00"/>
    <n v="0"/>
    <x v="1"/>
    <m/>
    <m/>
  </r>
  <r>
    <x v="0"/>
    <x v="5"/>
    <d v="2024-09-20T00:00:00"/>
    <n v="0"/>
    <x v="1"/>
    <s v="20min, level 3"/>
    <m/>
  </r>
  <r>
    <x v="0"/>
    <x v="0"/>
    <d v="2024-09-22T00:00:00"/>
    <n v="1"/>
    <x v="1"/>
    <m/>
    <m/>
  </r>
  <r>
    <x v="0"/>
    <x v="5"/>
    <d v="2024-09-22T00:00:00"/>
    <n v="0"/>
    <x v="1"/>
    <s v="20min, level 3"/>
    <m/>
  </r>
  <r>
    <x v="0"/>
    <x v="1"/>
    <d v="2024-09-23T00:00:00"/>
    <n v="0"/>
    <x v="1"/>
    <m/>
    <m/>
  </r>
  <r>
    <x v="0"/>
    <x v="5"/>
    <d v="2024-09-23T00:00:00"/>
    <n v="0"/>
    <x v="1"/>
    <s v="20min, level 3"/>
    <m/>
  </r>
  <r>
    <x v="0"/>
    <x v="2"/>
    <d v="2024-09-24T00:00:00"/>
    <n v="0"/>
    <x v="1"/>
    <s v="increased weight 5lbs"/>
    <m/>
  </r>
  <r>
    <x v="0"/>
    <x v="5"/>
    <d v="2024-09-24T00:00:00"/>
    <n v="0"/>
    <x v="1"/>
    <s v="20min, level 3"/>
    <m/>
  </r>
  <r>
    <x v="0"/>
    <x v="3"/>
    <d v="2024-09-25T00:00:00"/>
    <n v="0"/>
    <x v="1"/>
    <s v="increased weight 5lbs"/>
    <m/>
  </r>
  <r>
    <x v="0"/>
    <x v="4"/>
    <d v="2024-09-25T00:00:00"/>
    <n v="0"/>
    <x v="1"/>
    <m/>
    <m/>
  </r>
  <r>
    <x v="0"/>
    <x v="5"/>
    <d v="2024-09-25T00:00:00"/>
    <n v="0"/>
    <x v="1"/>
    <s v="20min, level 3"/>
    <m/>
  </r>
  <r>
    <x v="0"/>
    <x v="0"/>
    <d v="2024-09-27T00:00:00"/>
    <n v="1"/>
    <x v="1"/>
    <s v="increased weight 5lbs"/>
    <m/>
  </r>
  <r>
    <x v="0"/>
    <x v="5"/>
    <d v="2024-09-27T00:00:00"/>
    <n v="0"/>
    <x v="1"/>
    <s v="20min, level 3"/>
    <m/>
  </r>
  <r>
    <x v="0"/>
    <x v="1"/>
    <d v="2024-10-01T00:00:00"/>
    <n v="3"/>
    <x v="2"/>
    <s v="increased weight 5lbs"/>
    <m/>
  </r>
  <r>
    <x v="0"/>
    <x v="5"/>
    <d v="2024-10-01T00:00:00"/>
    <n v="0"/>
    <x v="2"/>
    <s v="20min, level 3"/>
    <m/>
  </r>
  <r>
    <x v="0"/>
    <x v="2"/>
    <d v="2024-10-04T00:00:00"/>
    <n v="2"/>
    <x v="2"/>
    <m/>
    <m/>
  </r>
  <r>
    <x v="0"/>
    <x v="5"/>
    <d v="2024-10-04T00:00:00"/>
    <n v="0"/>
    <x v="2"/>
    <s v="20min, level 3"/>
    <m/>
  </r>
  <r>
    <x v="0"/>
    <x v="3"/>
    <d v="2024-10-05T00:00:00"/>
    <n v="0"/>
    <x v="2"/>
    <m/>
    <m/>
  </r>
  <r>
    <x v="0"/>
    <x v="4"/>
    <d v="2024-10-05T00:00:00"/>
    <n v="0"/>
    <x v="2"/>
    <m/>
    <m/>
  </r>
  <r>
    <x v="0"/>
    <x v="5"/>
    <d v="2024-10-05T00:00:00"/>
    <n v="0"/>
    <x v="2"/>
    <s v="20min, level 3"/>
    <m/>
  </r>
  <r>
    <x v="0"/>
    <x v="0"/>
    <d v="2024-10-06T00:00:00"/>
    <n v="0"/>
    <x v="2"/>
    <m/>
    <m/>
  </r>
  <r>
    <x v="0"/>
    <x v="5"/>
    <d v="2024-10-06T00:00:00"/>
    <n v="0"/>
    <x v="2"/>
    <s v="20min, level 4"/>
    <m/>
  </r>
  <r>
    <x v="0"/>
    <x v="1"/>
    <d v="2024-10-08T00:00:00"/>
    <n v="1"/>
    <x v="2"/>
    <m/>
    <m/>
  </r>
  <r>
    <x v="0"/>
    <x v="5"/>
    <d v="2024-10-08T00:00:00"/>
    <n v="0"/>
    <x v="2"/>
    <s v="20min, burst every 5min for 1 minute level 4"/>
    <m/>
  </r>
  <r>
    <x v="0"/>
    <x v="2"/>
    <d v="2024-10-09T00:00:00"/>
    <n v="0"/>
    <x v="2"/>
    <m/>
    <m/>
  </r>
  <r>
    <x v="0"/>
    <x v="5"/>
    <d v="2024-10-09T00:00:00"/>
    <n v="0"/>
    <x v="2"/>
    <s v="20min, burst every 5min for 1 minute level 4"/>
    <m/>
  </r>
  <r>
    <x v="0"/>
    <x v="3"/>
    <d v="2024-10-10T00:00:00"/>
    <n v="0"/>
    <x v="2"/>
    <m/>
    <m/>
  </r>
  <r>
    <x v="0"/>
    <x v="4"/>
    <d v="2024-10-10T00:00:00"/>
    <n v="0"/>
    <x v="2"/>
    <m/>
    <m/>
  </r>
  <r>
    <x v="0"/>
    <x v="5"/>
    <d v="2024-10-10T00:00:00"/>
    <n v="0"/>
    <x v="2"/>
    <s v="20min, burst every 5min for 1 minute level 4"/>
    <m/>
  </r>
  <r>
    <x v="0"/>
    <x v="0"/>
    <d v="2024-10-12T00:00:00"/>
    <n v="1"/>
    <x v="2"/>
    <m/>
    <m/>
  </r>
  <r>
    <x v="0"/>
    <x v="5"/>
    <d v="2024-10-12T00:00:00"/>
    <n v="0"/>
    <x v="2"/>
    <s v="20min, burst every 5min for 1 minute level 4"/>
    <m/>
  </r>
  <r>
    <x v="0"/>
    <x v="1"/>
    <d v="2024-10-13T00:00:00"/>
    <n v="0"/>
    <x v="2"/>
    <m/>
    <m/>
  </r>
  <r>
    <x v="0"/>
    <x v="5"/>
    <d v="2024-10-13T00:00:00"/>
    <n v="0"/>
    <x v="2"/>
    <s v="20min, burst every 5min for 1 minute level 4"/>
    <m/>
  </r>
  <r>
    <x v="0"/>
    <x v="2"/>
    <d v="2024-10-15T00:00:00"/>
    <n v="1"/>
    <x v="2"/>
    <s v="Started DIET for 2 weeks"/>
    <m/>
  </r>
  <r>
    <x v="0"/>
    <x v="5"/>
    <d v="2024-10-15T00:00:00"/>
    <n v="0"/>
    <x v="2"/>
    <s v="20min, burst every 5min for 1 minute level 4"/>
    <m/>
  </r>
  <r>
    <x v="0"/>
    <x v="3"/>
    <d v="2024-10-16T00:00:00"/>
    <n v="0"/>
    <x v="2"/>
    <m/>
    <m/>
  </r>
  <r>
    <x v="0"/>
    <x v="5"/>
    <d v="2024-10-16T00:00:00"/>
    <n v="0"/>
    <x v="2"/>
    <s v="20min, burst every 5min for 1 minute level 4"/>
    <m/>
  </r>
  <r>
    <x v="0"/>
    <x v="0"/>
    <d v="2024-10-17T00:00:00"/>
    <n v="0"/>
    <x v="2"/>
    <m/>
    <n v="78.8"/>
  </r>
  <r>
    <x v="0"/>
    <x v="4"/>
    <d v="2024-10-17T00:00:00"/>
    <n v="0"/>
    <x v="2"/>
    <m/>
    <m/>
  </r>
  <r>
    <x v="0"/>
    <x v="5"/>
    <d v="2024-10-17T00:00:00"/>
    <n v="0"/>
    <x v="2"/>
    <s v="20min, burst every 5min for 1 minute level 4"/>
    <m/>
  </r>
  <r>
    <x v="0"/>
    <x v="1"/>
    <d v="2024-10-18T00:00:00"/>
    <n v="0"/>
    <x v="2"/>
    <m/>
    <m/>
  </r>
  <r>
    <x v="0"/>
    <x v="2"/>
    <d v="2024-10-20T00:00:00"/>
    <n v="1"/>
    <x v="2"/>
    <m/>
    <m/>
  </r>
  <r>
    <x v="0"/>
    <x v="5"/>
    <d v="2024-10-20T00:00:00"/>
    <n v="0"/>
    <x v="2"/>
    <m/>
    <m/>
  </r>
  <r>
    <x v="0"/>
    <x v="3"/>
    <d v="2024-10-21T00:00:00"/>
    <n v="0"/>
    <x v="2"/>
    <s v="increased weight 5lbs"/>
    <m/>
  </r>
  <r>
    <x v="0"/>
    <x v="5"/>
    <d v="2024-10-21T00:00:00"/>
    <n v="0"/>
    <x v="2"/>
    <s v="20min, burst every 5min for 1 minute level 4"/>
    <m/>
  </r>
  <r>
    <x v="0"/>
    <x v="0"/>
    <d v="2024-10-22T00:00:00"/>
    <n v="0"/>
    <x v="2"/>
    <m/>
    <m/>
  </r>
  <r>
    <x v="0"/>
    <x v="5"/>
    <d v="2024-10-22T00:00:00"/>
    <n v="0"/>
    <x v="2"/>
    <s v="20min, burst every 5min for 1 minute level 4"/>
    <m/>
  </r>
  <r>
    <x v="0"/>
    <x v="1"/>
    <d v="2024-10-23T00:00:00"/>
    <n v="0"/>
    <x v="2"/>
    <s v="increased weight 5lbs"/>
    <m/>
  </r>
  <r>
    <x v="0"/>
    <x v="5"/>
    <d v="2024-10-23T00:00:00"/>
    <n v="0"/>
    <x v="2"/>
    <s v="20min, burst every 5min for 2 minutes level 4"/>
    <m/>
  </r>
  <r>
    <x v="0"/>
    <x v="2"/>
    <d v="2024-10-24T00:00:00"/>
    <n v="0"/>
    <x v="2"/>
    <m/>
    <m/>
  </r>
  <r>
    <x v="0"/>
    <x v="5"/>
    <d v="2024-10-24T00:00:00"/>
    <n v="0"/>
    <x v="2"/>
    <s v="20min, burst every 5min for 2 minutes level 4"/>
    <m/>
  </r>
  <r>
    <x v="0"/>
    <x v="5"/>
    <d v="2024-10-25T00:00:00"/>
    <n v="0"/>
    <x v="2"/>
    <s v="30min"/>
    <m/>
  </r>
  <r>
    <x v="0"/>
    <x v="3"/>
    <d v="2024-10-27T00:00:00"/>
    <n v="1"/>
    <x v="2"/>
    <m/>
    <m/>
  </r>
  <r>
    <x v="0"/>
    <x v="5"/>
    <d v="2024-10-27T00:00:00"/>
    <n v="0"/>
    <x v="2"/>
    <s v="20min, burst every 5min for 5 minutes level 4"/>
    <n v="78"/>
  </r>
  <r>
    <x v="0"/>
    <x v="0"/>
    <d v="2024-10-29T00:00:00"/>
    <n v="1"/>
    <x v="2"/>
    <m/>
    <m/>
  </r>
  <r>
    <x v="0"/>
    <x v="5"/>
    <d v="2024-10-29T00:00:00"/>
    <n v="0"/>
    <x v="2"/>
    <m/>
    <m/>
  </r>
  <r>
    <x v="0"/>
    <x v="4"/>
    <d v="2024-10-29T00:00:00"/>
    <n v="0"/>
    <x v="2"/>
    <m/>
    <m/>
  </r>
  <r>
    <x v="0"/>
    <x v="1"/>
    <d v="2024-10-30T00:00:00"/>
    <n v="0"/>
    <x v="2"/>
    <m/>
    <m/>
  </r>
  <r>
    <x v="0"/>
    <x v="5"/>
    <d v="2024-10-30T00:00:00"/>
    <n v="0"/>
    <x v="2"/>
    <m/>
    <m/>
  </r>
  <r>
    <x v="0"/>
    <x v="2"/>
    <d v="2024-10-31T00:00:00"/>
    <n v="0"/>
    <x v="2"/>
    <m/>
    <m/>
  </r>
  <r>
    <x v="0"/>
    <x v="3"/>
    <d v="2024-11-02T00:00:00"/>
    <n v="1"/>
    <x v="3"/>
    <m/>
    <m/>
  </r>
  <r>
    <x v="0"/>
    <x v="5"/>
    <d v="2024-11-03T00:00:00"/>
    <n v="0"/>
    <x v="3"/>
    <s v="20min, burst every 5min for 5 minutes level 4"/>
    <m/>
  </r>
  <r>
    <x v="0"/>
    <x v="0"/>
    <d v="2024-11-03T00:00:00"/>
    <n v="0"/>
    <x v="3"/>
    <m/>
    <m/>
  </r>
  <r>
    <x v="0"/>
    <x v="5"/>
    <d v="2024-11-03T00:00:00"/>
    <n v="0"/>
    <x v="3"/>
    <m/>
    <m/>
  </r>
  <r>
    <x v="0"/>
    <x v="1"/>
    <d v="2024-11-04T00:00:00"/>
    <n v="0"/>
    <x v="3"/>
    <m/>
    <m/>
  </r>
  <r>
    <x v="0"/>
    <x v="5"/>
    <d v="2024-11-04T00:00:00"/>
    <n v="0"/>
    <x v="3"/>
    <m/>
    <m/>
  </r>
  <r>
    <x v="0"/>
    <x v="2"/>
    <d v="2024-11-05T00:00:00"/>
    <n v="0"/>
    <x v="3"/>
    <m/>
    <m/>
  </r>
  <r>
    <x v="0"/>
    <x v="5"/>
    <d v="2024-11-05T00:00:00"/>
    <n v="0"/>
    <x v="3"/>
    <s v="20min, burst every 5min for 5 minutes level 4"/>
    <m/>
  </r>
  <r>
    <x v="0"/>
    <x v="3"/>
    <d v="2024-11-07T00:00:00"/>
    <n v="1"/>
    <x v="3"/>
    <m/>
    <m/>
  </r>
  <r>
    <x v="0"/>
    <x v="5"/>
    <d v="2024-11-07T00:00:00"/>
    <n v="0"/>
    <x v="3"/>
    <s v="20min, burst every 5min for 5 minutes level 4"/>
    <m/>
  </r>
  <r>
    <x v="0"/>
    <x v="4"/>
    <d v="2024-11-07T00:00:00"/>
    <n v="0"/>
    <x v="3"/>
    <m/>
    <m/>
  </r>
  <r>
    <x v="0"/>
    <x v="3"/>
    <d v="2024-11-10T00:00:00"/>
    <n v="2"/>
    <x v="3"/>
    <m/>
    <m/>
  </r>
  <r>
    <x v="0"/>
    <x v="5"/>
    <d v="2024-11-10T00:00:00"/>
    <n v="0"/>
    <x v="3"/>
    <m/>
    <m/>
  </r>
  <r>
    <x v="0"/>
    <x v="4"/>
    <d v="2024-11-10T00:00:00"/>
    <n v="0"/>
    <x v="3"/>
    <m/>
    <m/>
  </r>
  <r>
    <x v="0"/>
    <x v="0"/>
    <d v="2024-11-11T00:00:00"/>
    <n v="0"/>
    <x v="3"/>
    <m/>
    <m/>
  </r>
  <r>
    <x v="0"/>
    <x v="5"/>
    <d v="2024-11-11T00:00:00"/>
    <n v="0"/>
    <x v="3"/>
    <s v="20min, burst every 5min for 5 minutes level 4"/>
    <m/>
  </r>
  <r>
    <x v="0"/>
    <x v="0"/>
    <d v="2024-11-12T00:00:00"/>
    <n v="0"/>
    <x v="3"/>
    <m/>
    <m/>
  </r>
  <r>
    <x v="0"/>
    <x v="5"/>
    <d v="2024-11-12T00:00:00"/>
    <n v="0"/>
    <x v="3"/>
    <s v="20min, level 5"/>
    <m/>
  </r>
  <r>
    <x v="0"/>
    <x v="2"/>
    <d v="2024-11-13T00:00:00"/>
    <n v="0"/>
    <x v="3"/>
    <m/>
    <m/>
  </r>
  <r>
    <x v="0"/>
    <x v="5"/>
    <d v="2024-11-13T00:00:00"/>
    <n v="0"/>
    <x v="3"/>
    <s v="20min, level 5"/>
    <m/>
  </r>
  <r>
    <x v="0"/>
    <x v="3"/>
    <d v="2024-11-15T00:00:00"/>
    <n v="1"/>
    <x v="3"/>
    <m/>
    <m/>
  </r>
  <r>
    <x v="0"/>
    <x v="5"/>
    <d v="2024-11-15T00:00:00"/>
    <n v="0"/>
    <x v="3"/>
    <s v="20min, level 5"/>
    <m/>
  </r>
  <r>
    <x v="0"/>
    <x v="0"/>
    <d v="2024-11-17T00:00:00"/>
    <n v="1"/>
    <x v="3"/>
    <m/>
    <m/>
  </r>
  <r>
    <x v="0"/>
    <x v="5"/>
    <d v="2024-11-17T00:00:00"/>
    <n v="0"/>
    <x v="3"/>
    <s v="20min, burst every 5min for 1 minute level 5"/>
    <m/>
  </r>
  <r>
    <x v="0"/>
    <x v="1"/>
    <d v="2024-11-18T00:00:00"/>
    <n v="0"/>
    <x v="3"/>
    <m/>
    <m/>
  </r>
  <r>
    <x v="0"/>
    <x v="5"/>
    <d v="2024-11-18T00:00:00"/>
    <n v="0"/>
    <x v="3"/>
    <s v="20min, burst every 5min for 1 minute level 5"/>
    <m/>
  </r>
  <r>
    <x v="0"/>
    <x v="2"/>
    <d v="2024-11-19T00:00:00"/>
    <n v="0"/>
    <x v="3"/>
    <m/>
    <m/>
  </r>
  <r>
    <x v="0"/>
    <x v="5"/>
    <d v="2024-11-19T00:00:00"/>
    <n v="0"/>
    <x v="3"/>
    <s v="20min, burst every 5min for 1 minute level 5"/>
    <m/>
  </r>
  <r>
    <x v="0"/>
    <x v="3"/>
    <d v="2024-11-21T00:00:00"/>
    <n v="1"/>
    <x v="3"/>
    <m/>
    <m/>
  </r>
  <r>
    <x v="0"/>
    <x v="4"/>
    <d v="2024-11-21T00:00:00"/>
    <n v="0"/>
    <x v="3"/>
    <m/>
    <m/>
  </r>
  <r>
    <x v="0"/>
    <x v="5"/>
    <d v="2024-11-21T00:00:00"/>
    <n v="0"/>
    <x v="3"/>
    <s v="20min, burst every 5min for 1 minute level 5"/>
    <m/>
  </r>
  <r>
    <x v="0"/>
    <x v="0"/>
    <d v="2024-11-22T00:00:00"/>
    <n v="0"/>
    <x v="3"/>
    <m/>
    <m/>
  </r>
  <r>
    <x v="0"/>
    <x v="5"/>
    <d v="2024-11-22T00:00:00"/>
    <n v="0"/>
    <x v="3"/>
    <s v="20min, burst every 5min for 1 minute level 5"/>
    <m/>
  </r>
  <r>
    <x v="0"/>
    <x v="1"/>
    <d v="2024-11-24T00:00:00"/>
    <n v="1"/>
    <x v="3"/>
    <m/>
    <m/>
  </r>
  <r>
    <x v="0"/>
    <x v="5"/>
    <d v="2024-11-24T00:00:00"/>
    <n v="0"/>
    <x v="3"/>
    <s v="20min, burst every 5min for 1 minute level 5"/>
    <m/>
  </r>
  <r>
    <x v="0"/>
    <x v="2"/>
    <d v="2024-11-26T00:00:00"/>
    <n v="1"/>
    <x v="3"/>
    <m/>
    <m/>
  </r>
  <r>
    <x v="0"/>
    <x v="5"/>
    <d v="2024-11-26T00:00:00"/>
    <n v="0"/>
    <x v="3"/>
    <s v="20min, burst every 5min for 1 minute level 5"/>
    <m/>
  </r>
  <r>
    <x v="0"/>
    <x v="0"/>
    <d v="2024-11-27T00:00:00"/>
    <n v="0"/>
    <x v="3"/>
    <m/>
    <m/>
  </r>
  <r>
    <x v="0"/>
    <x v="5"/>
    <d v="2024-11-27T00:00:00"/>
    <n v="0"/>
    <x v="3"/>
    <s v="20min, burst every 5min for 1 minute level 5"/>
    <m/>
  </r>
  <r>
    <x v="0"/>
    <x v="3"/>
    <d v="2024-11-29T00:00:00"/>
    <n v="1"/>
    <x v="3"/>
    <m/>
    <m/>
  </r>
  <r>
    <x v="0"/>
    <x v="5"/>
    <d v="2024-11-29T00:00:00"/>
    <n v="0"/>
    <x v="3"/>
    <s v="20min, burst every 5min for 1 minute level 5"/>
    <m/>
  </r>
  <r>
    <x v="0"/>
    <x v="5"/>
    <d v="2024-12-01T00:00:00"/>
    <n v="1"/>
    <x v="4"/>
    <s v="Concert"/>
    <m/>
  </r>
  <r>
    <x v="0"/>
    <x v="0"/>
    <d v="2024-12-03T00:00:00"/>
    <n v="1"/>
    <x v="4"/>
    <m/>
    <m/>
  </r>
  <r>
    <x v="0"/>
    <x v="5"/>
    <d v="2024-12-03T00:00:00"/>
    <n v="0"/>
    <x v="4"/>
    <s v="20min, burst every 5min for 1 minute level 5"/>
    <m/>
  </r>
  <r>
    <x v="0"/>
    <x v="1"/>
    <d v="2024-12-04T00:00:00"/>
    <n v="0"/>
    <x v="4"/>
    <m/>
    <m/>
  </r>
  <r>
    <x v="0"/>
    <x v="5"/>
    <d v="2024-12-04T00:00:00"/>
    <n v="0"/>
    <x v="4"/>
    <s v="20min, burst every 5min for 1 minute level 5"/>
    <m/>
  </r>
  <r>
    <x v="0"/>
    <x v="2"/>
    <d v="2024-12-05T00:00:00"/>
    <n v="0"/>
    <x v="4"/>
    <m/>
    <m/>
  </r>
  <r>
    <x v="0"/>
    <x v="5"/>
    <d v="2024-12-05T00:00:00"/>
    <n v="0"/>
    <x v="4"/>
    <s v="20min, burst every 5min for 1 minute level 5"/>
    <m/>
  </r>
  <r>
    <x v="0"/>
    <x v="3"/>
    <d v="2024-12-07T00:00:00"/>
    <n v="1"/>
    <x v="4"/>
    <m/>
    <m/>
  </r>
  <r>
    <x v="0"/>
    <x v="5"/>
    <d v="2024-12-07T00:00:00"/>
    <n v="0"/>
    <x v="4"/>
    <s v="20min, burst every 5min for 1 minute level 5"/>
    <m/>
  </r>
  <r>
    <x v="0"/>
    <x v="0"/>
    <d v="2024-12-08T00:00:00"/>
    <n v="0"/>
    <x v="4"/>
    <m/>
    <m/>
  </r>
  <r>
    <x v="0"/>
    <x v="4"/>
    <d v="2024-12-08T00:00:00"/>
    <n v="0"/>
    <x v="4"/>
    <m/>
    <m/>
  </r>
  <r>
    <x v="0"/>
    <x v="5"/>
    <d v="2024-12-08T00:00:00"/>
    <n v="0"/>
    <x v="4"/>
    <s v="20min, burst every 5min for 1 minute level 5"/>
    <m/>
  </r>
  <r>
    <x v="0"/>
    <x v="1"/>
    <d v="2024-12-09T00:00:00"/>
    <n v="0"/>
    <x v="4"/>
    <m/>
    <m/>
  </r>
  <r>
    <x v="0"/>
    <x v="5"/>
    <d v="2024-12-09T00:00:00"/>
    <n v="0"/>
    <x v="4"/>
    <s v="20min, burst every 5min for 1 minute level 5"/>
    <m/>
  </r>
  <r>
    <x v="0"/>
    <x v="3"/>
    <d v="2024-12-11T00:00:00"/>
    <n v="1"/>
    <x v="4"/>
    <m/>
    <m/>
  </r>
  <r>
    <x v="0"/>
    <x v="5"/>
    <d v="2024-12-11T00:00:00"/>
    <n v="0"/>
    <x v="4"/>
    <s v="20min, burst every 5min for 1 minute level 5"/>
    <m/>
  </r>
  <r>
    <x v="0"/>
    <x v="2"/>
    <d v="2024-12-14T00:00:00"/>
    <n v="2"/>
    <x v="4"/>
    <m/>
    <m/>
  </r>
  <r>
    <x v="0"/>
    <x v="5"/>
    <d v="2024-12-14T00:00:00"/>
    <n v="0"/>
    <x v="4"/>
    <s v="20min, burst every 5min for 1 minute level 5"/>
    <m/>
  </r>
  <r>
    <x v="0"/>
    <x v="0"/>
    <d v="2024-12-16T00:00:00"/>
    <n v="1"/>
    <x v="4"/>
    <m/>
    <m/>
  </r>
  <r>
    <x v="0"/>
    <x v="5"/>
    <d v="2024-12-16T00:00:00"/>
    <n v="0"/>
    <x v="4"/>
    <s v="20min, burst every 5min for 1 minute level 5"/>
    <m/>
  </r>
  <r>
    <x v="0"/>
    <x v="3"/>
    <d v="2024-12-18T00:00:00"/>
    <n v="1"/>
    <x v="4"/>
    <m/>
    <m/>
  </r>
  <r>
    <x v="0"/>
    <x v="5"/>
    <d v="2024-12-18T00:00:00"/>
    <n v="0"/>
    <x v="4"/>
    <s v="20min, burst every 5min for 1 minute level 5"/>
    <m/>
  </r>
  <r>
    <x v="0"/>
    <x v="1"/>
    <d v="2024-12-19T00:00:00"/>
    <n v="0"/>
    <x v="4"/>
    <m/>
    <m/>
  </r>
  <r>
    <x v="0"/>
    <x v="5"/>
    <d v="2024-12-19T00:00:00"/>
    <n v="0"/>
    <x v="4"/>
    <s v="20min, burst every 5min for 1 minute level 6"/>
    <m/>
  </r>
  <r>
    <x v="0"/>
    <x v="2"/>
    <d v="2024-12-20T00:00:00"/>
    <n v="0"/>
    <x v="4"/>
    <m/>
    <m/>
  </r>
  <r>
    <x v="0"/>
    <x v="5"/>
    <d v="2024-12-20T00:00:00"/>
    <n v="0"/>
    <x v="4"/>
    <s v="20min, burst every 5min for 1 minute level 6"/>
    <m/>
  </r>
  <r>
    <x v="0"/>
    <x v="0"/>
    <d v="2024-12-22T00:00:00"/>
    <n v="1"/>
    <x v="4"/>
    <m/>
    <m/>
  </r>
  <r>
    <x v="0"/>
    <x v="5"/>
    <d v="2024-12-22T00:00:00"/>
    <n v="0"/>
    <x v="4"/>
    <s v="20min, burst every 5min for 1 minute level 6"/>
    <m/>
  </r>
  <r>
    <x v="0"/>
    <x v="3"/>
    <d v="2024-12-23T00:00:00"/>
    <n v="0"/>
    <x v="4"/>
    <m/>
    <m/>
  </r>
  <r>
    <x v="0"/>
    <x v="5"/>
    <d v="2024-12-23T00:00:00"/>
    <n v="0"/>
    <x v="4"/>
    <s v="20min, burst every 5min for 1 minute level 6"/>
    <m/>
  </r>
  <r>
    <x v="0"/>
    <x v="1"/>
    <d v="2024-12-25T00:00:00"/>
    <n v="1"/>
    <x v="4"/>
    <m/>
    <m/>
  </r>
  <r>
    <x v="0"/>
    <x v="5"/>
    <d v="2024-12-25T00:00:00"/>
    <n v="0"/>
    <x v="4"/>
    <s v="20min, burst every 5min for 1 minute level 6"/>
    <m/>
  </r>
  <r>
    <x v="0"/>
    <x v="0"/>
    <d v="2025-01-03T00:00:00"/>
    <n v="8"/>
    <x v="5"/>
    <s v="went on vacation"/>
    <m/>
  </r>
  <r>
    <x v="0"/>
    <x v="5"/>
    <d v="2025-01-03T00:00:00"/>
    <n v="0"/>
    <x v="5"/>
    <s v="20min"/>
    <m/>
  </r>
  <r>
    <x v="0"/>
    <x v="1"/>
    <d v="2025-01-04T00:00:00"/>
    <n v="0"/>
    <x v="5"/>
    <m/>
    <m/>
  </r>
  <r>
    <x v="0"/>
    <x v="5"/>
    <d v="2025-01-04T00:00:00"/>
    <n v="0"/>
    <x v="5"/>
    <s v="20min"/>
    <m/>
  </r>
  <r>
    <x v="0"/>
    <x v="2"/>
    <d v="2025-01-05T00:00:00"/>
    <n v="0"/>
    <x v="5"/>
    <m/>
    <m/>
  </r>
  <r>
    <x v="0"/>
    <x v="5"/>
    <d v="2025-01-05T00:00:00"/>
    <n v="0"/>
    <x v="5"/>
    <s v="20min"/>
    <m/>
  </r>
  <r>
    <x v="0"/>
    <x v="6"/>
    <d v="2025-01-05T00:00:00"/>
    <n v="0"/>
    <x v="5"/>
    <s v="60min"/>
    <m/>
  </r>
  <r>
    <x v="0"/>
    <x v="3"/>
    <d v="2025-01-07T00:00:00"/>
    <n v="1"/>
    <x v="5"/>
    <m/>
    <m/>
  </r>
  <r>
    <x v="0"/>
    <x v="5"/>
    <d v="2025-01-07T00:00:00"/>
    <n v="0"/>
    <x v="5"/>
    <s v="20min"/>
    <m/>
  </r>
  <r>
    <x v="0"/>
    <x v="4"/>
    <d v="2025-01-08T00:00:00"/>
    <n v="0"/>
    <x v="5"/>
    <m/>
    <m/>
  </r>
  <r>
    <x v="0"/>
    <x v="5"/>
    <d v="2025-01-08T00:00:00"/>
    <n v="0"/>
    <x v="5"/>
    <s v="20min, burst every 5min for 1 minute level 6"/>
    <m/>
  </r>
  <r>
    <x v="0"/>
    <x v="0"/>
    <d v="2025-01-09T00:00:00"/>
    <n v="0"/>
    <x v="5"/>
    <m/>
    <m/>
  </r>
  <r>
    <x v="0"/>
    <x v="5"/>
    <d v="2025-01-09T00:00:00"/>
    <n v="0"/>
    <x v="5"/>
    <s v="20min, burst every 5min for 1 minute level 6"/>
    <m/>
  </r>
  <r>
    <x v="0"/>
    <x v="0"/>
    <d v="2025-02-06T00:00:00"/>
    <n v="27"/>
    <x v="6"/>
    <s v="Back from vacation. Taking it easy"/>
    <m/>
  </r>
  <r>
    <x v="0"/>
    <x v="5"/>
    <d v="2025-02-06T00:00:00"/>
    <n v="0"/>
    <x v="6"/>
    <s v="20min"/>
    <m/>
  </r>
  <r>
    <x v="0"/>
    <x v="1"/>
    <d v="2025-02-07T00:00:00"/>
    <n v="0"/>
    <x v="6"/>
    <m/>
    <m/>
  </r>
  <r>
    <x v="0"/>
    <x v="5"/>
    <d v="2025-02-07T00:00:00"/>
    <n v="0"/>
    <x v="6"/>
    <m/>
    <m/>
  </r>
  <r>
    <x v="0"/>
    <x v="2"/>
    <d v="2025-02-10T00:00:00"/>
    <n v="2"/>
    <x v="6"/>
    <m/>
    <m/>
  </r>
  <r>
    <x v="0"/>
    <x v="5"/>
    <d v="2025-02-10T00:00:00"/>
    <n v="0"/>
    <x v="6"/>
    <s v="20min"/>
    <m/>
  </r>
  <r>
    <x v="0"/>
    <x v="0"/>
    <d v="2025-02-24T00:00:00"/>
    <n v="13"/>
    <x v="6"/>
    <s v="restarting after sickness"/>
    <m/>
  </r>
  <r>
    <x v="0"/>
    <x v="5"/>
    <d v="2025-02-24T00:00:00"/>
    <n v="0"/>
    <x v="6"/>
    <m/>
    <m/>
  </r>
  <r>
    <x v="0"/>
    <x v="1"/>
    <d v="2025-02-25T00:00:00"/>
    <n v="0"/>
    <x v="6"/>
    <m/>
    <m/>
  </r>
  <r>
    <x v="0"/>
    <x v="5"/>
    <d v="2025-02-25T00:00:00"/>
    <n v="0"/>
    <x v="6"/>
    <m/>
    <m/>
  </r>
  <r>
    <x v="0"/>
    <x v="2"/>
    <d v="2025-02-27T00:00:00"/>
    <n v="1"/>
    <x v="6"/>
    <m/>
    <m/>
  </r>
  <r>
    <x v="0"/>
    <x v="5"/>
    <d v="2025-02-27T00:00:00"/>
    <n v="0"/>
    <x v="6"/>
    <m/>
    <m/>
  </r>
  <r>
    <x v="0"/>
    <x v="3"/>
    <d v="2025-03-03T00:00:00"/>
    <n v="3"/>
    <x v="7"/>
    <m/>
    <m/>
  </r>
  <r>
    <x v="0"/>
    <x v="4"/>
    <d v="2025-03-03T00:00:00"/>
    <n v="0"/>
    <x v="7"/>
    <m/>
    <m/>
  </r>
  <r>
    <x v="0"/>
    <x v="5"/>
    <d v="2025-03-03T00:00:00"/>
    <n v="0"/>
    <x v="7"/>
    <m/>
    <m/>
  </r>
  <r>
    <x v="0"/>
    <x v="0"/>
    <d v="2025-03-04T00:00:00"/>
    <n v="0"/>
    <x v="7"/>
    <m/>
    <m/>
  </r>
  <r>
    <x v="0"/>
    <x v="5"/>
    <d v="2025-03-04T00:00:00"/>
    <n v="0"/>
    <x v="7"/>
    <m/>
    <m/>
  </r>
  <r>
    <x v="0"/>
    <x v="1"/>
    <d v="2025-03-05T00:00:00"/>
    <n v="0"/>
    <x v="7"/>
    <m/>
    <m/>
  </r>
  <r>
    <x v="0"/>
    <x v="5"/>
    <d v="2025-03-05T00:00:00"/>
    <n v="0"/>
    <x v="7"/>
    <m/>
    <m/>
  </r>
  <r>
    <x v="0"/>
    <x v="2"/>
    <d v="2025-03-06T00:00:00"/>
    <n v="0"/>
    <x v="7"/>
    <m/>
    <m/>
  </r>
  <r>
    <x v="0"/>
    <x v="5"/>
    <d v="2025-03-06T00:00:00"/>
    <n v="0"/>
    <x v="7"/>
    <m/>
    <m/>
  </r>
  <r>
    <x v="0"/>
    <x v="3"/>
    <d v="2025-03-08T00:00:00"/>
    <n v="1"/>
    <x v="7"/>
    <m/>
    <m/>
  </r>
  <r>
    <x v="0"/>
    <x v="5"/>
    <d v="2025-03-08T00:00:00"/>
    <n v="0"/>
    <x v="7"/>
    <m/>
    <m/>
  </r>
  <r>
    <x v="0"/>
    <x v="0"/>
    <d v="2025-03-11T00:00:00"/>
    <n v="2"/>
    <x v="7"/>
    <m/>
    <m/>
  </r>
  <r>
    <x v="0"/>
    <x v="5"/>
    <d v="2025-03-11T00:00:00"/>
    <n v="0"/>
    <x v="7"/>
    <m/>
    <m/>
  </r>
  <r>
    <x v="0"/>
    <x v="1"/>
    <d v="2025-03-12T00:00:00"/>
    <n v="0"/>
    <x v="7"/>
    <m/>
    <m/>
  </r>
  <r>
    <x v="0"/>
    <x v="5"/>
    <d v="2025-03-12T00:00:00"/>
    <n v="0"/>
    <x v="7"/>
    <m/>
    <m/>
  </r>
  <r>
    <x v="0"/>
    <x v="2"/>
    <d v="2025-03-14T00:00:00"/>
    <n v="1"/>
    <x v="7"/>
    <m/>
    <m/>
  </r>
  <r>
    <x v="0"/>
    <x v="5"/>
    <d v="2025-03-14T00:00:00"/>
    <n v="0"/>
    <x v="7"/>
    <m/>
    <m/>
  </r>
  <r>
    <x v="0"/>
    <x v="3"/>
    <d v="2025-03-15T00:00:00"/>
    <n v="0"/>
    <x v="7"/>
    <m/>
    <m/>
  </r>
  <r>
    <x v="0"/>
    <x v="5"/>
    <d v="2025-03-15T00:00:00"/>
    <n v="0"/>
    <x v="7"/>
    <m/>
    <m/>
  </r>
  <r>
    <x v="0"/>
    <x v="4"/>
    <d v="2025-03-16T00:00:00"/>
    <n v="0"/>
    <x v="7"/>
    <m/>
    <m/>
  </r>
  <r>
    <x v="0"/>
    <x v="5"/>
    <d v="2025-03-16T00:00:00"/>
    <n v="0"/>
    <x v="7"/>
    <m/>
    <m/>
  </r>
  <r>
    <x v="0"/>
    <x v="0"/>
    <d v="2025-03-19T00:00:00"/>
    <n v="2"/>
    <x v="7"/>
    <m/>
    <m/>
  </r>
  <r>
    <x v="0"/>
    <x v="5"/>
    <d v="2025-03-19T00:00:00"/>
    <n v="0"/>
    <x v="7"/>
    <m/>
    <m/>
  </r>
  <r>
    <x v="0"/>
    <x v="1"/>
    <d v="2025-03-20T00:00:00"/>
    <n v="0"/>
    <x v="7"/>
    <m/>
    <m/>
  </r>
  <r>
    <x v="0"/>
    <x v="5"/>
    <d v="2025-03-20T00:00:00"/>
    <n v="0"/>
    <x v="7"/>
    <m/>
    <m/>
  </r>
  <r>
    <x v="0"/>
    <x v="2"/>
    <d v="2025-03-21T00:00:00"/>
    <n v="0"/>
    <x v="7"/>
    <m/>
    <m/>
  </r>
  <r>
    <x v="0"/>
    <x v="5"/>
    <d v="2025-03-21T00:00:00"/>
    <n v="0"/>
    <x v="7"/>
    <m/>
    <m/>
  </r>
  <r>
    <x v="0"/>
    <x v="5"/>
    <d v="2025-03-22T00:00:00"/>
    <n v="0"/>
    <x v="7"/>
    <m/>
    <m/>
  </r>
  <r>
    <x v="0"/>
    <x v="5"/>
    <d v="2025-03-23T00:00:00"/>
    <n v="0"/>
    <x v="7"/>
    <m/>
    <m/>
  </r>
  <r>
    <x v="0"/>
    <x v="0"/>
    <d v="2025-03-29T00:00:00"/>
    <n v="5"/>
    <x v="7"/>
    <m/>
    <m/>
  </r>
  <r>
    <x v="0"/>
    <x v="5"/>
    <d v="2025-03-29T00:00:00"/>
    <n v="0"/>
    <x v="7"/>
    <m/>
    <m/>
  </r>
  <r>
    <x v="0"/>
    <x v="1"/>
    <d v="2025-03-30T00:00:00"/>
    <n v="0"/>
    <x v="7"/>
    <m/>
    <m/>
  </r>
  <r>
    <x v="0"/>
    <x v="5"/>
    <d v="2025-03-30T00:00:00"/>
    <n v="0"/>
    <x v="7"/>
    <m/>
    <m/>
  </r>
  <r>
    <x v="0"/>
    <x v="2"/>
    <d v="2025-03-31T00:00:00"/>
    <n v="0"/>
    <x v="7"/>
    <m/>
    <m/>
  </r>
  <r>
    <x v="0"/>
    <x v="5"/>
    <d v="2025-03-31T00:00:00"/>
    <n v="0"/>
    <x v="7"/>
    <m/>
    <m/>
  </r>
  <r>
    <x v="0"/>
    <x v="0"/>
    <d v="2025-04-16T00:00:00"/>
    <n v="15"/>
    <x v="8"/>
    <s v="restarting (train for event)"/>
    <m/>
  </r>
  <r>
    <x v="0"/>
    <x v="1"/>
    <d v="2025-04-18T00:00:00"/>
    <n v="1"/>
    <x v="8"/>
    <m/>
    <m/>
  </r>
  <r>
    <x v="0"/>
    <x v="5"/>
    <d v="2025-04-18T00:00:00"/>
    <n v="0"/>
    <x v="8"/>
    <m/>
    <m/>
  </r>
  <r>
    <x v="0"/>
    <x v="2"/>
    <d v="2025-04-20T00:00:00"/>
    <n v="1"/>
    <x v="8"/>
    <m/>
    <m/>
  </r>
  <r>
    <x v="0"/>
    <x v="5"/>
    <d v="2025-04-20T00:00:00"/>
    <n v="0"/>
    <x v="8"/>
    <m/>
    <m/>
  </r>
  <r>
    <x v="0"/>
    <x v="3"/>
    <d v="2025-04-21T00:00:00"/>
    <n v="0"/>
    <x v="8"/>
    <m/>
    <m/>
  </r>
  <r>
    <x v="0"/>
    <x v="5"/>
    <d v="2025-04-21T00:00:00"/>
    <n v="0"/>
    <x v="8"/>
    <m/>
    <m/>
  </r>
  <r>
    <x v="0"/>
    <x v="0"/>
    <d v="2025-04-23T00:00:00"/>
    <n v="1"/>
    <x v="8"/>
    <m/>
    <m/>
  </r>
  <r>
    <x v="0"/>
    <x v="5"/>
    <d v="2025-04-23T00:00:00"/>
    <n v="0"/>
    <x v="8"/>
    <m/>
    <m/>
  </r>
  <r>
    <x v="0"/>
    <x v="1"/>
    <d v="2025-04-24T00:00:00"/>
    <n v="0"/>
    <x v="8"/>
    <m/>
    <m/>
  </r>
  <r>
    <x v="0"/>
    <x v="5"/>
    <d v="2025-04-24T00:00:00"/>
    <n v="0"/>
    <x v="8"/>
    <m/>
    <m/>
  </r>
  <r>
    <x v="0"/>
    <x v="2"/>
    <d v="2025-04-25T00:00:00"/>
    <n v="0"/>
    <x v="8"/>
    <m/>
    <m/>
  </r>
  <r>
    <x v="0"/>
    <x v="3"/>
    <d v="2025-04-27T00:00:00"/>
    <n v="1"/>
    <x v="8"/>
    <m/>
    <m/>
  </r>
  <r>
    <x v="0"/>
    <x v="5"/>
    <d v="2025-04-27T00:00:00"/>
    <n v="0"/>
    <x v="8"/>
    <m/>
    <m/>
  </r>
  <r>
    <x v="0"/>
    <x v="0"/>
    <d v="2025-05-01T00:00:00"/>
    <n v="3"/>
    <x v="9"/>
    <m/>
    <m/>
  </r>
  <r>
    <x v="0"/>
    <x v="5"/>
    <d v="2025-05-01T00:00:00"/>
    <n v="0"/>
    <x v="9"/>
    <m/>
    <m/>
  </r>
  <r>
    <x v="0"/>
    <x v="0"/>
    <d v="2025-05-05T00:00:00"/>
    <n v="3"/>
    <x v="9"/>
    <m/>
    <m/>
  </r>
  <r>
    <x v="0"/>
    <x v="5"/>
    <d v="2025-05-05T00:00:00"/>
    <n v="0"/>
    <x v="9"/>
    <m/>
    <m/>
  </r>
  <r>
    <x v="0"/>
    <x v="1"/>
    <d v="2025-05-06T00:00:00"/>
    <n v="0"/>
    <x v="9"/>
    <m/>
    <m/>
  </r>
  <r>
    <x v="0"/>
    <x v="5"/>
    <d v="2025-05-06T00:00:00"/>
    <n v="0"/>
    <x v="9"/>
    <m/>
    <m/>
  </r>
  <r>
    <x v="0"/>
    <x v="2"/>
    <d v="2025-05-08T00:00:00"/>
    <n v="1"/>
    <x v="9"/>
    <m/>
    <m/>
  </r>
  <r>
    <x v="0"/>
    <x v="5"/>
    <d v="2025-05-08T00:00:00"/>
    <n v="0"/>
    <x v="9"/>
    <m/>
    <m/>
  </r>
  <r>
    <x v="0"/>
    <x v="3"/>
    <d v="2025-05-13T00:00:00"/>
    <n v="4"/>
    <x v="9"/>
    <m/>
    <m/>
  </r>
  <r>
    <x v="0"/>
    <x v="5"/>
    <d v="2025-05-13T00:00:00"/>
    <n v="0"/>
    <x v="9"/>
    <m/>
    <m/>
  </r>
  <r>
    <x v="0"/>
    <x v="0"/>
    <d v="2025-05-15T00:00:00"/>
    <n v="1"/>
    <x v="9"/>
    <m/>
    <m/>
  </r>
  <r>
    <x v="0"/>
    <x v="5"/>
    <d v="2025-05-15T00:00:00"/>
    <n v="0"/>
    <x v="9"/>
    <m/>
    <m/>
  </r>
  <r>
    <x v="0"/>
    <x v="1"/>
    <d v="2025-05-20T00:00:00"/>
    <n v="4"/>
    <x v="9"/>
    <m/>
    <m/>
  </r>
  <r>
    <x v="0"/>
    <x v="5"/>
    <d v="2025-05-20T00:00:00"/>
    <n v="0"/>
    <x v="9"/>
    <m/>
    <m/>
  </r>
  <r>
    <x v="0"/>
    <x v="2"/>
    <d v="2025-05-22T00:00:00"/>
    <n v="1"/>
    <x v="9"/>
    <m/>
    <m/>
  </r>
  <r>
    <x v="0"/>
    <x v="5"/>
    <d v="2025-05-22T00:00:00"/>
    <n v="0"/>
    <x v="9"/>
    <m/>
    <m/>
  </r>
  <r>
    <x v="0"/>
    <x v="3"/>
    <d v="2025-05-27T00:00:00"/>
    <n v="4"/>
    <x v="9"/>
    <m/>
    <m/>
  </r>
  <r>
    <x v="0"/>
    <x v="5"/>
    <d v="2025-05-27T00:00:00"/>
    <n v="0"/>
    <x v="9"/>
    <m/>
    <m/>
  </r>
  <r>
    <x v="0"/>
    <x v="0"/>
    <d v="2025-07-21T00:00:00"/>
    <n v="54"/>
    <x v="10"/>
    <s v="STARTING AFTER LONG HIATUS"/>
    <m/>
  </r>
  <r>
    <x v="0"/>
    <x v="0"/>
    <d v="2025-07-28T00:00:00"/>
    <n v="6"/>
    <x v="10"/>
    <m/>
    <m/>
  </r>
  <r>
    <x v="0"/>
    <x v="0"/>
    <d v="2025-08-06T00:00:00"/>
    <n v="8"/>
    <x v="11"/>
    <s v="STARTING AFTER LONG HIATUS"/>
    <m/>
  </r>
  <r>
    <x v="0"/>
    <x v="5"/>
    <d v="2025-08-06T00:00:00"/>
    <n v="0"/>
    <x v="11"/>
    <s v="20 min"/>
    <m/>
  </r>
  <r>
    <x v="0"/>
    <x v="0"/>
    <d v="2025-08-25T00:00:00"/>
    <n v="18"/>
    <x v="11"/>
    <s v="STARTING AGAIN… HOPEFULLY REALLY THIS TIME"/>
    <m/>
  </r>
  <r>
    <x v="0"/>
    <x v="5"/>
    <d v="2025-08-25T00:00:00"/>
    <n v="0"/>
    <x v="11"/>
    <m/>
    <m/>
  </r>
  <r>
    <x v="0"/>
    <x v="0"/>
    <d v="2025-09-15T00:00:00"/>
    <n v="20"/>
    <x v="12"/>
    <s v="STARTING AGAIN… "/>
    <m/>
  </r>
  <r>
    <x v="0"/>
    <x v="5"/>
    <d v="2025-09-15T00:00:00"/>
    <n v="0"/>
    <x v="12"/>
    <s v="20min"/>
    <m/>
  </r>
  <r>
    <x v="0"/>
    <x v="1"/>
    <d v="2025-09-16T00:00:00"/>
    <n v="0"/>
    <x v="12"/>
    <m/>
    <m/>
  </r>
  <r>
    <x v="0"/>
    <x v="5"/>
    <d v="2025-09-16T00:00:00"/>
    <n v="0"/>
    <x v="12"/>
    <m/>
    <m/>
  </r>
  <r>
    <x v="0"/>
    <x v="3"/>
    <d v="2025-09-29T00:00:00"/>
    <n v="12"/>
    <x v="12"/>
    <m/>
    <m/>
  </r>
  <r>
    <x v="0"/>
    <x v="5"/>
    <d v="2025-09-29T00:00:00"/>
    <n v="0"/>
    <x v="12"/>
    <m/>
    <m/>
  </r>
  <r>
    <x v="0"/>
    <x v="0"/>
    <d v="2025-10-06T00:00:00"/>
    <n v="6"/>
    <x v="13"/>
    <m/>
    <m/>
  </r>
  <r>
    <x v="0"/>
    <x v="5"/>
    <d v="2025-10-06T00:00:00"/>
    <n v="0"/>
    <x v="13"/>
    <m/>
    <m/>
  </r>
  <r>
    <x v="0"/>
    <x v="1"/>
    <d v="2025-10-07T00:00:00"/>
    <n v="0"/>
    <x v="13"/>
    <m/>
    <m/>
  </r>
  <r>
    <x v="0"/>
    <x v="5"/>
    <d v="2025-10-07T00:00:00"/>
    <n v="0"/>
    <x v="13"/>
    <m/>
    <m/>
  </r>
  <r>
    <x v="0"/>
    <x v="2"/>
    <d v="2025-10-08T00:00:00"/>
    <n v="0"/>
    <x v="13"/>
    <m/>
    <m/>
  </r>
  <r>
    <x v="0"/>
    <x v="5"/>
    <d v="2025-10-08T00:00:00"/>
    <n v="0"/>
    <x v="13"/>
    <m/>
    <m/>
  </r>
  <r>
    <x v="0"/>
    <x v="3"/>
    <d v="2025-10-11T00:00:00"/>
    <n v="2"/>
    <x v="13"/>
    <m/>
    <m/>
  </r>
  <r>
    <x v="0"/>
    <x v="5"/>
    <d v="2025-10-11T00:00:00"/>
    <n v="0"/>
    <x v="13"/>
    <m/>
    <m/>
  </r>
  <r>
    <x v="0"/>
    <x v="0"/>
    <d v="2025-10-13T00:00:00"/>
    <n v="1"/>
    <x v="13"/>
    <m/>
    <m/>
  </r>
  <r>
    <x v="0"/>
    <x v="5"/>
    <d v="2025-10-13T00:00:00"/>
    <n v="0"/>
    <x v="13"/>
    <m/>
    <m/>
  </r>
  <r>
    <x v="0"/>
    <x v="1"/>
    <d v="2025-10-21T00:00:00"/>
    <n v="7"/>
    <x v="13"/>
    <m/>
    <m/>
  </r>
  <r>
    <x v="0"/>
    <x v="5"/>
    <d v="2025-10-21T00:00:00"/>
    <n v="0"/>
    <x v="13"/>
    <m/>
    <m/>
  </r>
  <r>
    <x v="0"/>
    <x v="0"/>
    <d v="2025-10-27T00:00:00"/>
    <n v="5"/>
    <x v="13"/>
    <m/>
    <m/>
  </r>
  <r>
    <x v="0"/>
    <x v="5"/>
    <d v="2025-10-27T00:00:00"/>
    <n v="0"/>
    <x v="13"/>
    <m/>
    <m/>
  </r>
  <r>
    <x v="0"/>
    <x v="0"/>
    <d v="2025-10-29T00:00:00"/>
    <n v="1"/>
    <x v="13"/>
    <m/>
    <m/>
  </r>
  <r>
    <x v="0"/>
    <x v="5"/>
    <d v="2025-10-29T00:00:00"/>
    <n v="0"/>
    <x v="13"/>
    <m/>
    <m/>
  </r>
  <r>
    <x v="0"/>
    <x v="3"/>
    <d v="2025-10-30T00:00:00"/>
    <n v="0"/>
    <x v="13"/>
    <m/>
    <m/>
  </r>
  <r>
    <x v="0"/>
    <x v="5"/>
    <d v="2025-10-30T00:00:00"/>
    <n v="0"/>
    <x v="13"/>
    <m/>
    <m/>
  </r>
  <r>
    <x v="0"/>
    <x v="0"/>
    <d v="2025-11-10T00:00:00"/>
    <n v="10"/>
    <x v="14"/>
    <m/>
    <m/>
  </r>
  <r>
    <x v="0"/>
    <x v="5"/>
    <d v="2025-11-10T00:00:00"/>
    <n v="0"/>
    <x v="14"/>
    <m/>
    <m/>
  </r>
  <r>
    <x v="0"/>
    <x v="1"/>
    <d v="2025-11-11T00:00:00"/>
    <n v="0"/>
    <x v="14"/>
    <m/>
    <m/>
  </r>
  <r>
    <x v="0"/>
    <x v="2"/>
    <d v="2025-11-14T00:00:00"/>
    <n v="2"/>
    <x v="14"/>
    <m/>
    <m/>
  </r>
  <r>
    <x v="0"/>
    <x v="3"/>
    <d v="2025-11-18T00:00:00"/>
    <n v="3"/>
    <x v="14"/>
    <m/>
    <m/>
  </r>
  <r>
    <x v="0"/>
    <x v="0"/>
    <d v="2025-11-21T00:00:00"/>
    <n v="2"/>
    <x v="14"/>
    <m/>
    <m/>
  </r>
  <r>
    <x v="0"/>
    <x v="0"/>
    <d v="2025-12-01T00:00:00"/>
    <n v="9"/>
    <x v="15"/>
    <m/>
    <m/>
  </r>
  <r>
    <x v="0"/>
    <x v="1"/>
    <d v="2025-12-02T00:00:00"/>
    <n v="0"/>
    <x v="15"/>
    <m/>
    <m/>
  </r>
  <r>
    <x v="0"/>
    <x v="2"/>
    <d v="2025-12-03T00:00:00"/>
    <n v="0"/>
    <x v="15"/>
    <m/>
    <m/>
  </r>
  <r>
    <x v="0"/>
    <x v="3"/>
    <d v="2025-12-04T00:00:00"/>
    <n v="0"/>
    <x v="15"/>
    <m/>
    <m/>
  </r>
  <r>
    <x v="0"/>
    <x v="4"/>
    <d v="2025-12-05T00:00:00"/>
    <n v="0"/>
    <x v="15"/>
    <m/>
    <m/>
  </r>
  <r>
    <x v="0"/>
    <x v="5"/>
    <d v="2025-12-05T00:00:00"/>
    <n v="0"/>
    <x v="15"/>
    <m/>
    <m/>
  </r>
  <r>
    <x v="0"/>
    <x v="0"/>
    <d v="2025-12-08T00:00:00"/>
    <n v="2"/>
    <x v="15"/>
    <m/>
    <m/>
  </r>
  <r>
    <x v="0"/>
    <x v="5"/>
    <d v="2025-12-08T00:00:00"/>
    <n v="0"/>
    <x v="15"/>
    <m/>
    <m/>
  </r>
  <r>
    <x v="0"/>
    <x v="1"/>
    <d v="2025-12-09T00:00:00"/>
    <n v="0"/>
    <x v="15"/>
    <m/>
    <m/>
  </r>
  <r>
    <x v="0"/>
    <x v="5"/>
    <d v="2025-12-09T00:00:00"/>
    <n v="0"/>
    <x v="15"/>
    <m/>
    <m/>
  </r>
  <r>
    <x v="0"/>
    <x v="0"/>
    <d v="2026-01-03T00:00:00"/>
    <n v="24"/>
    <x v="16"/>
    <m/>
    <m/>
  </r>
  <r>
    <x v="0"/>
    <x v="0"/>
    <d v="2026-01-21T00:00:00"/>
    <n v="17"/>
    <x v="16"/>
    <m/>
    <m/>
  </r>
  <r>
    <x v="0"/>
    <x v="0"/>
    <d v="2026-01-26T00:00:00"/>
    <n v="4"/>
    <x v="16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A4B712-1AC8-468C-B3D2-B89A412C731D}" name="PivotTable1" cacheId="6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showHeaders="0" outline="1" outlineData="1" multipleFieldFilters="0">
  <location ref="A13:C32" firstHeaderRow="0" firstDataRow="1" firstDataCol="1"/>
  <pivotFields count="7">
    <pivotField axis="axisRow" showAll="0">
      <items count="3">
        <item x="0"/>
        <item m="1" x="1"/>
        <item t="default"/>
      </items>
    </pivotField>
    <pivotField dataField="1" showAll="0"/>
    <pivotField numFmtId="164" showAll="0"/>
    <pivotField dataField="1" numFmtId="1" showAll="0"/>
    <pivotField axis="axisRow" showAll="0">
      <items count="19">
        <item x="0"/>
        <item x="1"/>
        <item m="1" x="17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showAll="0"/>
    <pivotField showAll="0"/>
  </pivotFields>
  <rowFields count="2">
    <field x="0"/>
    <field x="4"/>
  </rowFields>
  <rowItems count="19">
    <i>
      <x/>
    </i>
    <i r="1">
      <x/>
    </i>
    <i r="1">
      <x v="1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Workouts" fld="1" subtotal="count" baseField="4" baseItem="4"/>
    <dataField name="Skipped" fld="3" baseField="0" baseItem="0" numFmtId="1"/>
  </dataFields>
  <formats count="27">
    <format dxfId="80">
      <pivotArea dataOnly="0" labelOnly="1" fieldPosition="0">
        <references count="1">
          <reference field="4" count="1">
            <x v="1"/>
          </reference>
        </references>
      </pivotArea>
    </format>
    <format dxfId="79">
      <pivotArea dataOnly="0" outline="0" fieldPosition="0">
        <references count="1">
          <reference field="4" count="1">
            <x v="0"/>
          </reference>
        </references>
      </pivotArea>
    </format>
    <format dxfId="78">
      <pivotArea dataOnly="0" labelOnly="1" grandCol="1" outline="0" fieldPosition="0"/>
    </format>
    <format dxfId="77">
      <pivotArea type="origin" dataOnly="0" labelOnly="1" outline="0" fieldPosition="0"/>
    </format>
    <format dxfId="76">
      <pivotArea type="topRight" dataOnly="0" labelOnly="1" outline="0" fieldPosition="0"/>
    </format>
    <format dxfId="75">
      <pivotArea dataOnly="0" labelOnly="1" fieldPosition="0">
        <references count="1">
          <reference field="4" count="0"/>
        </references>
      </pivotArea>
    </format>
    <format dxfId="74">
      <pivotArea dataOnly="0" labelOnly="1" grandCol="1" outline="0" fieldPosition="0"/>
    </format>
    <format dxfId="73">
      <pivotArea collapsedLevelsAreSubtotals="1" fieldPosition="0">
        <references count="1">
          <reference field="0" count="0"/>
        </references>
      </pivotArea>
    </format>
    <format dxfId="72">
      <pivotArea dataOnly="0" labelOnly="1" fieldPosition="0">
        <references count="1">
          <reference field="0" count="0"/>
        </references>
      </pivotArea>
    </format>
    <format dxfId="71">
      <pivotArea type="origin" dataOnly="0" labelOnly="1" outline="0" fieldPosition="0"/>
    </format>
    <format dxfId="70">
      <pivotArea type="topRight" dataOnly="0" labelOnly="1" outline="0" fieldPosition="0"/>
    </format>
    <format dxfId="69">
      <pivotArea dataOnly="0" labelOnly="1" fieldPosition="0">
        <references count="1">
          <reference field="4" count="0"/>
        </references>
      </pivotArea>
    </format>
    <format dxfId="68">
      <pivotArea dataOnly="0" labelOnly="1" grandCol="1" outline="0" fieldPosition="0"/>
    </format>
    <format dxfId="67">
      <pivotArea type="origin" dataOnly="0" labelOnly="1" outline="0" fieldPosition="0"/>
    </format>
    <format dxfId="66">
      <pivotArea type="topRight" dataOnly="0" labelOnly="1" outline="0" fieldPosition="0"/>
    </format>
    <format dxfId="65">
      <pivotArea dataOnly="0" labelOnly="1" fieldPosition="0">
        <references count="1">
          <reference field="4" count="0"/>
        </references>
      </pivotArea>
    </format>
    <format dxfId="64">
      <pivotArea dataOnly="0" labelOnly="1" grandCol="1" outline="0" fieldPosition="0"/>
    </format>
    <format dxfId="63">
      <pivotArea dataOnly="0" labelOnly="1" fieldPosition="0">
        <references count="2">
          <reference field="0" count="0" selected="0"/>
          <reference field="4" count="0"/>
        </references>
      </pivotArea>
    </format>
    <format dxfId="62">
      <pivotArea dataOnly="0" labelOnly="1" fieldPosition="0">
        <references count="2">
          <reference field="0" count="0" selected="0"/>
          <reference field="4" count="0"/>
        </references>
      </pivotArea>
    </format>
    <format dxfId="61">
      <pivotArea dataOnly="0" labelOnly="1" outline="0" axis="axisValues" fieldPosition="0"/>
    </format>
    <format dxfId="6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9">
      <pivotArea collapsedLevelsAreSubtotals="1" fieldPosition="0">
        <references count="1">
          <reference field="0" count="0"/>
        </references>
      </pivotArea>
    </format>
    <format dxfId="58">
      <pivotArea dataOnly="0" labelOnly="1" fieldPosition="0">
        <references count="1">
          <reference field="0" count="0"/>
        </references>
      </pivotArea>
    </format>
    <format dxfId="5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6">
      <pivotArea collapsedLevelsAreSubtotals="1" fieldPosition="0">
        <references count="1">
          <reference field="0" count="0"/>
        </references>
      </pivotArea>
    </format>
    <format dxfId="55">
      <pivotArea dataOnly="0" labelOnly="1" fieldPosition="0">
        <references count="1">
          <reference field="0" count="0"/>
        </references>
      </pivotArea>
    </format>
    <format dxfId="5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8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648332-98A0-4832-AB49-942CE2D30AB9}" name="PivotTable4" cacheId="6" applyNumberFormats="0" applyBorderFormats="0" applyFontFormats="0" applyPatternFormats="0" applyAlignmentFormats="0" applyWidthHeightFormats="1" dataCaption="Values" updatedVersion="8" minRefreshableVersion="3" showDrill="0" useAutoFormatting="1" itemPrintTitles="1" mergeItem="1" createdVersion="8" indent="0" showHeaders="0" outline="1" outlineData="1" multipleFieldFilters="0">
  <location ref="A1:S11" firstHeaderRow="1" firstDataRow="2" firstDataCol="1"/>
  <pivotFields count="7">
    <pivotField axis="axisRow" showAll="0">
      <items count="3">
        <item x="0"/>
        <item m="1" x="1"/>
        <item t="default"/>
      </items>
    </pivotField>
    <pivotField axis="axisRow" showAll="0">
      <items count="10">
        <item x="3"/>
        <item x="1"/>
        <item x="0"/>
        <item x="2"/>
        <item x="4"/>
        <item m="1" x="8"/>
        <item x="5"/>
        <item m="1" x="7"/>
        <item x="6"/>
        <item t="default"/>
      </items>
    </pivotField>
    <pivotField dataField="1" numFmtId="164" showAll="0"/>
    <pivotField numFmtId="1" showAll="0"/>
    <pivotField axis="axisCol" showAll="0">
      <items count="19">
        <item x="0"/>
        <item x="1"/>
        <item m="1" x="17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showAll="0"/>
    <pivotField showAll="0"/>
  </pivotFields>
  <rowFields count="2">
    <field x="0"/>
    <field x="1"/>
  </rowFields>
  <rowItems count="9">
    <i>
      <x/>
    </i>
    <i r="1">
      <x/>
    </i>
    <i r="1">
      <x v="1"/>
    </i>
    <i r="1">
      <x v="2"/>
    </i>
    <i r="1">
      <x v="3"/>
    </i>
    <i r="1">
      <x v="4"/>
    </i>
    <i r="1">
      <x v="6"/>
    </i>
    <i r="1">
      <x v="8"/>
    </i>
    <i t="grand">
      <x/>
    </i>
  </rowItems>
  <colFields count="1">
    <field x="4"/>
  </colFields>
  <colItems count="18">
    <i>
      <x/>
    </i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WORKOUT SESSIONS SUMMARY" fld="2" subtotal="count" baseField="1" baseItem="3"/>
  </dataFields>
  <formats count="27">
    <format dxfId="107">
      <pivotArea dataOnly="0" labelOnly="1" fieldPosition="0">
        <references count="1">
          <reference field="4" count="1">
            <x v="1"/>
          </reference>
        </references>
      </pivotArea>
    </format>
    <format dxfId="106">
      <pivotArea dataOnly="0" outline="0" fieldPosition="0">
        <references count="1">
          <reference field="4" count="1">
            <x v="0"/>
          </reference>
        </references>
      </pivotArea>
    </format>
    <format dxfId="105">
      <pivotArea dataOnly="0" labelOnly="1" grandCol="1" outline="0" fieldPosition="0"/>
    </format>
    <format dxfId="104">
      <pivotArea type="origin" dataOnly="0" labelOnly="1" outline="0" fieldPosition="0"/>
    </format>
    <format dxfId="103">
      <pivotArea type="topRight" dataOnly="0" labelOnly="1" outline="0" fieldPosition="0"/>
    </format>
    <format dxfId="102">
      <pivotArea dataOnly="0" labelOnly="1" fieldPosition="0">
        <references count="1">
          <reference field="4" count="0"/>
        </references>
      </pivotArea>
    </format>
    <format dxfId="101">
      <pivotArea dataOnly="0" labelOnly="1" grandCol="1" outline="0" fieldPosition="0"/>
    </format>
    <format dxfId="100">
      <pivotArea collapsedLevelsAreSubtotals="1" fieldPosition="0">
        <references count="1">
          <reference field="0" count="0"/>
        </references>
      </pivotArea>
    </format>
    <format dxfId="99">
      <pivotArea dataOnly="0" labelOnly="1" fieldPosition="0">
        <references count="1">
          <reference field="0" count="0"/>
        </references>
      </pivotArea>
    </format>
    <format dxfId="98">
      <pivotArea collapsedLevelsAreSubtotals="1" fieldPosition="0">
        <references count="1">
          <reference field="0" count="0"/>
        </references>
      </pivotArea>
    </format>
    <format dxfId="97">
      <pivotArea type="origin" dataOnly="0" labelOnly="1" outline="0" fieldPosition="0"/>
    </format>
    <format dxfId="96">
      <pivotArea type="topRight" dataOnly="0" labelOnly="1" outline="0" fieldPosition="0"/>
    </format>
    <format dxfId="95">
      <pivotArea dataOnly="0" labelOnly="1" fieldPosition="0">
        <references count="1">
          <reference field="0" count="0"/>
        </references>
      </pivotArea>
    </format>
    <format dxfId="94">
      <pivotArea dataOnly="0" labelOnly="1" fieldPosition="0">
        <references count="1">
          <reference field="4" count="0"/>
        </references>
      </pivotArea>
    </format>
    <format dxfId="93">
      <pivotArea dataOnly="0" labelOnly="1" grandCol="1" outline="0" fieldPosition="0"/>
    </format>
    <format dxfId="92">
      <pivotArea type="origin" dataOnly="0" labelOnly="1" outline="0" fieldPosition="0"/>
    </format>
    <format dxfId="91">
      <pivotArea type="topRight" dataOnly="0" labelOnly="1" outline="0" fieldPosition="0"/>
    </format>
    <format dxfId="90">
      <pivotArea dataOnly="0" labelOnly="1" fieldPosition="0">
        <references count="1">
          <reference field="4" count="0"/>
        </references>
      </pivotArea>
    </format>
    <format dxfId="89">
      <pivotArea dataOnly="0" labelOnly="1" grandCol="1" outline="0" fieldPosition="0"/>
    </format>
    <format dxfId="88">
      <pivotArea type="origin" dataOnly="0" labelOnly="1" outline="0" fieldPosition="0"/>
    </format>
    <format dxfId="87">
      <pivotArea type="topRight" dataOnly="0" labelOnly="1" outline="0" fieldPosition="0"/>
    </format>
    <format dxfId="86">
      <pivotArea dataOnly="0" labelOnly="1" fieldPosition="0">
        <references count="1">
          <reference field="4" count="0"/>
        </references>
      </pivotArea>
    </format>
    <format dxfId="85">
      <pivotArea dataOnly="0" labelOnly="1" grandCol="1" outline="0" fieldPosition="0"/>
    </format>
    <format dxfId="84">
      <pivotArea type="origin" dataOnly="0" labelOnly="1" outline="0" fieldPosition="0"/>
    </format>
    <format dxfId="83">
      <pivotArea type="topRight" dataOnly="0" labelOnly="1" outline="0" fieldPosition="0"/>
    </format>
    <format dxfId="82">
      <pivotArea dataOnly="0" labelOnly="1" fieldPosition="0">
        <references count="1">
          <reference field="4" count="0"/>
        </references>
      </pivotArea>
    </format>
    <format dxfId="81">
      <pivotArea dataOnly="0" labelOnly="1" grandCol="1" outline="0" fieldPosition="0"/>
    </format>
  </formats>
  <pivotTableStyleInfo name="PivotStyleLight26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AE7404-5C69-43E2-A4EE-F79C8D6626F6}" name="Table1" displayName="Table1" ref="A1:G295" totalsRowShown="0">
  <autoFilter ref="A1:G295" xr:uid="{C7AE7404-5C69-43E2-A4EE-F79C8D6626F6}"/>
  <tableColumns count="7">
    <tableColumn id="1" xr3:uid="{80FFB388-D9B6-4C69-9C0B-A7BA1261091D}" name="ROUTINE NAME" dataDxfId="114"/>
    <tableColumn id="2" xr3:uid="{F52A8128-FEEA-41F3-B745-396DE51742EB}" name="AREA" dataDxfId="113"/>
    <tableColumn id="3" xr3:uid="{4604DFEF-43CF-49E8-89C0-F6EC23DC573A}" name="DATE" dataDxfId="112"/>
    <tableColumn id="8" xr3:uid="{CC2A6828-2CED-4C12-875B-03B5994E047E}" name="Days Skipped" dataDxfId="111">
      <calculatedColumnFormula>IF(IF(C1="", "", Table1[[#This Row],[DATE]]-C1-1) &lt; 0, 0, IF(C1="", "", Table1[[#This Row],[DATE]]-C1-1))</calculatedColumnFormula>
    </tableColumn>
    <tableColumn id="4" xr3:uid="{A1BD06E3-1AEC-4445-91CC-729FA95891E3}" name="MONTH" dataDxfId="110">
      <calculatedColumnFormula>TEXT(Table1[[#This Row],[DATE]],"yyyy-mm")</calculatedColumnFormula>
    </tableColumn>
    <tableColumn id="5" xr3:uid="{FB83AFA0-0CF5-49B4-9316-2247A6742633}" name="Observations" dataDxfId="109"/>
    <tableColumn id="6" xr3:uid="{89E9AD88-5C99-4E2D-B2C7-0A5CDB5F7EE5}" name="Weight (kg)" dataDxfId="108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Metropolitan">
  <a:themeElements>
    <a:clrScheme name="Metropolitan">
      <a:dk1>
        <a:sysClr val="windowText" lastClr="000000"/>
      </a:dk1>
      <a:lt1>
        <a:sysClr val="window" lastClr="FFFFFF"/>
      </a:lt1>
      <a:dk2>
        <a:srgbClr val="162F33"/>
      </a:dk2>
      <a:lt2>
        <a:srgbClr val="EAF0E0"/>
      </a:lt2>
      <a:accent1>
        <a:srgbClr val="50B4C8"/>
      </a:accent1>
      <a:accent2>
        <a:srgbClr val="A8B97F"/>
      </a:accent2>
      <a:accent3>
        <a:srgbClr val="9B9256"/>
      </a:accent3>
      <a:accent4>
        <a:srgbClr val="657689"/>
      </a:accent4>
      <a:accent5>
        <a:srgbClr val="7A855D"/>
      </a:accent5>
      <a:accent6>
        <a:srgbClr val="84AC9D"/>
      </a:accent6>
      <a:hlink>
        <a:srgbClr val="2370CD"/>
      </a:hlink>
      <a:folHlink>
        <a:srgbClr val="877589"/>
      </a:folHlink>
    </a:clrScheme>
    <a:fontScheme name="Metropolitan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Metropolitan">
      <a:fillStyleLst>
        <a:solidFill>
          <a:schemeClr val="phClr"/>
        </a:solidFill>
        <a:gradFill rotWithShape="1">
          <a:gsLst>
            <a:gs pos="0">
              <a:schemeClr val="phClr">
                <a:tint val="70000"/>
                <a:satMod val="100000"/>
                <a:lumMod val="110000"/>
              </a:schemeClr>
            </a:gs>
            <a:gs pos="50000">
              <a:schemeClr val="phClr">
                <a:tint val="75000"/>
                <a:satMod val="101000"/>
                <a:lumMod val="105000"/>
              </a:schemeClr>
            </a:gs>
            <a:gs pos="100000">
              <a:schemeClr val="phClr">
                <a:tint val="82000"/>
                <a:satMod val="104000"/>
                <a:lumMod val="105000"/>
              </a:schemeClr>
            </a:gs>
          </a:gsLst>
          <a:lin ang="2700000" scaled="0"/>
        </a:gradFill>
        <a:gradFill rotWithShape="1">
          <a:gsLst>
            <a:gs pos="0">
              <a:schemeClr val="phClr">
                <a:tint val="97000"/>
                <a:satMod val="100000"/>
                <a:lumMod val="102000"/>
              </a:schemeClr>
            </a:gs>
            <a:gs pos="50000">
              <a:schemeClr val="phClr">
                <a:shade val="100000"/>
                <a:satMod val="100000"/>
                <a:lumMod val="100000"/>
              </a:schemeClr>
            </a:gs>
            <a:gs pos="100000">
              <a:schemeClr val="phClr">
                <a:shade val="80000"/>
                <a:satMod val="100000"/>
                <a:lumMod val="99000"/>
              </a:schemeClr>
            </a:gs>
          </a:gsLst>
          <a:lin ang="27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solidFill>
          <a:schemeClr val="phClr">
            <a:shade val="95000"/>
            <a:satMod val="170000"/>
          </a:schemeClr>
        </a:soli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Metropolitan" id="{4C5440D6-04D2-4954-96CF-F251137069B2}" vid="{79CFCA13-9412-4290-BB4B-85112F88857B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77"/>
  <sheetViews>
    <sheetView topLeftCell="A157" zoomScale="265" zoomScaleNormal="265" workbookViewId="0">
      <selection activeCell="C157" sqref="C157"/>
    </sheetView>
  </sheetViews>
  <sheetFormatPr defaultColWidth="9.125" defaultRowHeight="15.75" x14ac:dyDescent="0.25"/>
  <cols>
    <col min="1" max="1" width="29.25" style="1" customWidth="1"/>
    <col min="2" max="2" width="12.625" style="2" customWidth="1"/>
    <col min="3" max="3" width="15.625" style="2" customWidth="1"/>
    <col min="4" max="4" width="3.875" style="1" customWidth="1"/>
    <col min="5" max="16384" width="9.125" style="1"/>
  </cols>
  <sheetData>
    <row r="2" spans="1:3" ht="15" customHeight="1" x14ac:dyDescent="0.25">
      <c r="A2" s="41" t="s">
        <v>0</v>
      </c>
      <c r="B2" s="41"/>
      <c r="C2" s="41"/>
    </row>
    <row r="3" spans="1:3" x14ac:dyDescent="0.25">
      <c r="A3" s="15" t="s">
        <v>1</v>
      </c>
      <c r="B3" s="16" t="s">
        <v>2</v>
      </c>
      <c r="C3" s="16" t="s">
        <v>3</v>
      </c>
    </row>
    <row r="4" spans="1:3" x14ac:dyDescent="0.25">
      <c r="A4" s="40" t="s">
        <v>4</v>
      </c>
      <c r="B4" s="40"/>
      <c r="C4" s="40"/>
    </row>
    <row r="5" spans="1:3" x14ac:dyDescent="0.25">
      <c r="A5" s="15" t="s">
        <v>5</v>
      </c>
      <c r="B5" s="16" t="s">
        <v>6</v>
      </c>
      <c r="C5" s="16" t="s">
        <v>7</v>
      </c>
    </row>
    <row r="6" spans="1:3" x14ac:dyDescent="0.25">
      <c r="A6" s="15" t="s">
        <v>8</v>
      </c>
      <c r="B6" s="16" t="s">
        <v>6</v>
      </c>
      <c r="C6" s="16" t="s">
        <v>9</v>
      </c>
    </row>
    <row r="7" spans="1:3" x14ac:dyDescent="0.25">
      <c r="A7" s="15" t="s">
        <v>10</v>
      </c>
      <c r="B7" s="16" t="s">
        <v>11</v>
      </c>
      <c r="C7" s="16" t="s">
        <v>12</v>
      </c>
    </row>
    <row r="8" spans="1:3" x14ac:dyDescent="0.25">
      <c r="A8" s="15" t="s">
        <v>13</v>
      </c>
      <c r="B8" s="16" t="s">
        <v>14</v>
      </c>
      <c r="C8" s="16" t="s">
        <v>15</v>
      </c>
    </row>
    <row r="9" spans="1:3" x14ac:dyDescent="0.25">
      <c r="A9" s="15" t="s">
        <v>16</v>
      </c>
      <c r="B9" s="16" t="s">
        <v>14</v>
      </c>
      <c r="C9" s="16" t="s">
        <v>17</v>
      </c>
    </row>
    <row r="10" spans="1:3" x14ac:dyDescent="0.25">
      <c r="A10" s="15" t="s">
        <v>18</v>
      </c>
      <c r="B10" s="16" t="s">
        <v>19</v>
      </c>
      <c r="C10" s="16" t="s">
        <v>20</v>
      </c>
    </row>
    <row r="11" spans="1:3" x14ac:dyDescent="0.25">
      <c r="A11" s="15" t="s">
        <v>21</v>
      </c>
      <c r="B11" s="16" t="s">
        <v>19</v>
      </c>
      <c r="C11" s="16" t="s">
        <v>22</v>
      </c>
    </row>
    <row r="12" spans="1:3" x14ac:dyDescent="0.25">
      <c r="A12" s="40" t="s">
        <v>23</v>
      </c>
      <c r="B12" s="40"/>
      <c r="C12" s="40"/>
    </row>
    <row r="13" spans="1:3" x14ac:dyDescent="0.25">
      <c r="A13" s="15" t="s">
        <v>24</v>
      </c>
      <c r="B13" s="16" t="s">
        <v>6</v>
      </c>
      <c r="C13" s="16" t="s">
        <v>25</v>
      </c>
    </row>
    <row r="14" spans="1:3" x14ac:dyDescent="0.25">
      <c r="A14" s="15" t="s">
        <v>26</v>
      </c>
      <c r="B14" s="16" t="s">
        <v>6</v>
      </c>
      <c r="C14" s="16" t="s">
        <v>27</v>
      </c>
    </row>
    <row r="15" spans="1:3" x14ac:dyDescent="0.25">
      <c r="A15" s="15" t="s">
        <v>28</v>
      </c>
      <c r="B15" s="16" t="s">
        <v>11</v>
      </c>
      <c r="C15" s="16">
        <v>12.5</v>
      </c>
    </row>
    <row r="16" spans="1:3" x14ac:dyDescent="0.25">
      <c r="A16" s="15" t="s">
        <v>29</v>
      </c>
      <c r="B16" s="16" t="s">
        <v>19</v>
      </c>
      <c r="C16" s="16" t="s">
        <v>30</v>
      </c>
    </row>
    <row r="17" spans="1:3" x14ac:dyDescent="0.25">
      <c r="A17" s="15" t="s">
        <v>31</v>
      </c>
      <c r="B17" s="16" t="s">
        <v>32</v>
      </c>
      <c r="C17" s="16" t="s">
        <v>33</v>
      </c>
    </row>
    <row r="18" spans="1:3" x14ac:dyDescent="0.25">
      <c r="A18" s="15" t="s">
        <v>34</v>
      </c>
      <c r="B18" s="16" t="s">
        <v>19</v>
      </c>
      <c r="C18" s="16" t="s">
        <v>11</v>
      </c>
    </row>
    <row r="19" spans="1:3" x14ac:dyDescent="0.25">
      <c r="A19" s="40" t="s">
        <v>35</v>
      </c>
      <c r="B19" s="40"/>
      <c r="C19" s="40"/>
    </row>
    <row r="20" spans="1:3" x14ac:dyDescent="0.25">
      <c r="A20" s="15" t="s">
        <v>36</v>
      </c>
      <c r="B20" s="16" t="s">
        <v>37</v>
      </c>
      <c r="C20" s="16" t="s">
        <v>38</v>
      </c>
    </row>
    <row r="21" spans="1:3" x14ac:dyDescent="0.25">
      <c r="A21" s="15" t="s">
        <v>39</v>
      </c>
      <c r="B21" s="16" t="s">
        <v>19</v>
      </c>
      <c r="C21" s="16" t="s">
        <v>7</v>
      </c>
    </row>
    <row r="22" spans="1:3" x14ac:dyDescent="0.25">
      <c r="A22" s="15" t="s">
        <v>40</v>
      </c>
      <c r="B22" s="16" t="s">
        <v>19</v>
      </c>
      <c r="C22" s="16" t="s">
        <v>41</v>
      </c>
    </row>
    <row r="23" spans="1:3" x14ac:dyDescent="0.25">
      <c r="A23" s="15" t="s">
        <v>42</v>
      </c>
      <c r="B23" s="16" t="s">
        <v>19</v>
      </c>
      <c r="C23" s="16">
        <v>20</v>
      </c>
    </row>
    <row r="24" spans="1:3" x14ac:dyDescent="0.25">
      <c r="A24" s="15"/>
      <c r="B24" s="16"/>
      <c r="C24" s="16"/>
    </row>
    <row r="25" spans="1:3" x14ac:dyDescent="0.25">
      <c r="A25" s="15" t="s">
        <v>43</v>
      </c>
      <c r="B25" s="16" t="s">
        <v>44</v>
      </c>
      <c r="C25" s="16">
        <v>30</v>
      </c>
    </row>
    <row r="28" spans="1:3" x14ac:dyDescent="0.25">
      <c r="A28" s="41" t="s">
        <v>0</v>
      </c>
      <c r="B28" s="41"/>
      <c r="C28" s="41"/>
    </row>
    <row r="29" spans="1:3" x14ac:dyDescent="0.25">
      <c r="A29" s="15" t="s">
        <v>1</v>
      </c>
      <c r="B29" s="16" t="s">
        <v>2</v>
      </c>
      <c r="C29" s="16" t="s">
        <v>3</v>
      </c>
    </row>
    <row r="30" spans="1:3" x14ac:dyDescent="0.25">
      <c r="A30" s="40" t="s">
        <v>45</v>
      </c>
      <c r="B30" s="40"/>
      <c r="C30" s="40"/>
    </row>
    <row r="31" spans="1:3" x14ac:dyDescent="0.25">
      <c r="A31" s="15" t="s">
        <v>5</v>
      </c>
      <c r="B31" s="16" t="s">
        <v>46</v>
      </c>
      <c r="C31" s="16" t="s">
        <v>9</v>
      </c>
    </row>
    <row r="32" spans="1:3" x14ac:dyDescent="0.25">
      <c r="A32" s="15" t="s">
        <v>8</v>
      </c>
      <c r="B32" s="16" t="s">
        <v>47</v>
      </c>
      <c r="C32" s="16" t="s">
        <v>48</v>
      </c>
    </row>
    <row r="33" spans="1:3" x14ac:dyDescent="0.25">
      <c r="A33" s="15" t="s">
        <v>49</v>
      </c>
      <c r="B33" s="16" t="s">
        <v>50</v>
      </c>
      <c r="C33" s="16" t="s">
        <v>51</v>
      </c>
    </row>
    <row r="34" spans="1:3" x14ac:dyDescent="0.25">
      <c r="A34" s="15" t="s">
        <v>52</v>
      </c>
      <c r="B34" s="16" t="s">
        <v>50</v>
      </c>
      <c r="C34" s="16" t="s">
        <v>53</v>
      </c>
    </row>
    <row r="35" spans="1:3" x14ac:dyDescent="0.25">
      <c r="A35" s="15" t="s">
        <v>54</v>
      </c>
      <c r="B35" s="16" t="s">
        <v>55</v>
      </c>
      <c r="C35" s="16"/>
    </row>
    <row r="36" spans="1:3" x14ac:dyDescent="0.25">
      <c r="A36" s="15" t="s">
        <v>56</v>
      </c>
      <c r="B36" s="16" t="s">
        <v>57</v>
      </c>
      <c r="C36" s="16"/>
    </row>
    <row r="37" spans="1:3" x14ac:dyDescent="0.25">
      <c r="A37" s="15" t="s">
        <v>58</v>
      </c>
      <c r="B37" s="16" t="s">
        <v>57</v>
      </c>
      <c r="C37" s="16"/>
    </row>
    <row r="38" spans="1:3" x14ac:dyDescent="0.25">
      <c r="A38" s="15" t="s">
        <v>59</v>
      </c>
      <c r="B38" s="16">
        <v>30</v>
      </c>
      <c r="C38" s="16"/>
    </row>
    <row r="39" spans="1:3" x14ac:dyDescent="0.25">
      <c r="A39" s="40" t="s">
        <v>60</v>
      </c>
      <c r="B39" s="40"/>
      <c r="C39" s="40"/>
    </row>
    <row r="40" spans="1:3" x14ac:dyDescent="0.25">
      <c r="A40" s="15" t="s">
        <v>61</v>
      </c>
      <c r="B40" s="16" t="s">
        <v>47</v>
      </c>
      <c r="C40" s="16" t="s">
        <v>62</v>
      </c>
    </row>
    <row r="41" spans="1:3" x14ac:dyDescent="0.25">
      <c r="A41" s="15" t="s">
        <v>63</v>
      </c>
      <c r="B41" s="16" t="s">
        <v>64</v>
      </c>
      <c r="C41" s="16" t="s">
        <v>62</v>
      </c>
    </row>
    <row r="42" spans="1:3" x14ac:dyDescent="0.25">
      <c r="A42" s="15" t="s">
        <v>65</v>
      </c>
      <c r="B42" s="16" t="s">
        <v>50</v>
      </c>
      <c r="C42" s="16">
        <v>40</v>
      </c>
    </row>
    <row r="43" spans="1:3" x14ac:dyDescent="0.25">
      <c r="A43" s="15" t="s">
        <v>66</v>
      </c>
      <c r="B43" s="16" t="s">
        <v>67</v>
      </c>
      <c r="C43" s="16" t="s">
        <v>68</v>
      </c>
    </row>
    <row r="44" spans="1:3" x14ac:dyDescent="0.25">
      <c r="A44" s="15" t="s">
        <v>69</v>
      </c>
      <c r="B44" s="16" t="s">
        <v>32</v>
      </c>
      <c r="C44" s="16" t="s">
        <v>70</v>
      </c>
    </row>
    <row r="45" spans="1:3" x14ac:dyDescent="0.25">
      <c r="A45" s="40" t="s">
        <v>71</v>
      </c>
      <c r="B45" s="40"/>
      <c r="C45" s="40"/>
    </row>
    <row r="46" spans="1:3" x14ac:dyDescent="0.25">
      <c r="A46" s="15" t="s">
        <v>72</v>
      </c>
      <c r="B46" s="16" t="s">
        <v>73</v>
      </c>
      <c r="C46" s="16"/>
    </row>
    <row r="47" spans="1:3" x14ac:dyDescent="0.25">
      <c r="A47" s="15" t="s">
        <v>74</v>
      </c>
      <c r="B47" s="16" t="s">
        <v>47</v>
      </c>
      <c r="C47" s="16" t="s">
        <v>75</v>
      </c>
    </row>
    <row r="48" spans="1:3" x14ac:dyDescent="0.25">
      <c r="A48" s="15" t="s">
        <v>40</v>
      </c>
      <c r="B48" s="16" t="s">
        <v>50</v>
      </c>
      <c r="C48" s="16" t="s">
        <v>76</v>
      </c>
    </row>
    <row r="49" spans="1:3" x14ac:dyDescent="0.25">
      <c r="A49" s="15" t="s">
        <v>77</v>
      </c>
      <c r="B49" s="16" t="s">
        <v>73</v>
      </c>
      <c r="C49" s="16">
        <v>10</v>
      </c>
    </row>
    <row r="50" spans="1:3" x14ac:dyDescent="0.25">
      <c r="A50" s="15" t="s">
        <v>78</v>
      </c>
      <c r="B50" s="16" t="s">
        <v>67</v>
      </c>
      <c r="C50" s="16">
        <v>15</v>
      </c>
    </row>
    <row r="51" spans="1:3" x14ac:dyDescent="0.25">
      <c r="A51" s="15" t="s">
        <v>43</v>
      </c>
      <c r="B51" s="16" t="s">
        <v>73</v>
      </c>
      <c r="C51" s="16">
        <v>10</v>
      </c>
    </row>
    <row r="52" spans="1:3" x14ac:dyDescent="0.25">
      <c r="A52" s="15" t="s">
        <v>59</v>
      </c>
      <c r="B52" s="16">
        <v>30</v>
      </c>
      <c r="C52" s="16"/>
    </row>
    <row r="53" spans="1:3" x14ac:dyDescent="0.25">
      <c r="A53" s="40" t="s">
        <v>79</v>
      </c>
      <c r="B53" s="40"/>
      <c r="C53" s="40"/>
    </row>
    <row r="54" spans="1:3" x14ac:dyDescent="0.25">
      <c r="A54" s="15" t="s">
        <v>80</v>
      </c>
      <c r="B54" s="16" t="s">
        <v>50</v>
      </c>
      <c r="C54" s="16" t="s">
        <v>15</v>
      </c>
    </row>
    <row r="55" spans="1:3" x14ac:dyDescent="0.25">
      <c r="A55" s="15" t="s">
        <v>81</v>
      </c>
      <c r="B55" s="16" t="s">
        <v>67</v>
      </c>
      <c r="C55" s="16">
        <v>7.5</v>
      </c>
    </row>
    <row r="56" spans="1:3" x14ac:dyDescent="0.25">
      <c r="A56" s="15" t="s">
        <v>82</v>
      </c>
      <c r="B56" s="16" t="s">
        <v>67</v>
      </c>
      <c r="C56" s="16" t="s">
        <v>83</v>
      </c>
    </row>
    <row r="57" spans="1:3" x14ac:dyDescent="0.25">
      <c r="A57" s="15" t="s">
        <v>84</v>
      </c>
      <c r="B57" s="16" t="s">
        <v>67</v>
      </c>
      <c r="C57" s="16">
        <v>10</v>
      </c>
    </row>
    <row r="58" spans="1:3" x14ac:dyDescent="0.25">
      <c r="A58" s="15" t="s">
        <v>85</v>
      </c>
      <c r="B58" s="16" t="s">
        <v>73</v>
      </c>
      <c r="C58" s="16">
        <v>30</v>
      </c>
    </row>
    <row r="59" spans="1:3" x14ac:dyDescent="0.25">
      <c r="A59" s="15" t="s">
        <v>59</v>
      </c>
      <c r="B59" s="16">
        <v>30</v>
      </c>
      <c r="C59" s="16"/>
    </row>
    <row r="60" spans="1:3" x14ac:dyDescent="0.25">
      <c r="A60" s="40" t="s">
        <v>86</v>
      </c>
      <c r="B60" s="40"/>
      <c r="C60" s="40"/>
    </row>
    <row r="61" spans="1:3" x14ac:dyDescent="0.25">
      <c r="A61" s="15" t="s">
        <v>31</v>
      </c>
      <c r="B61" s="16" t="s">
        <v>87</v>
      </c>
      <c r="C61" s="16" t="s">
        <v>88</v>
      </c>
    </row>
    <row r="62" spans="1:3" x14ac:dyDescent="0.25">
      <c r="A62" s="15" t="s">
        <v>89</v>
      </c>
      <c r="B62" s="16" t="s">
        <v>73</v>
      </c>
      <c r="C62" s="16" t="s">
        <v>90</v>
      </c>
    </row>
    <row r="63" spans="1:3" x14ac:dyDescent="0.25">
      <c r="A63" s="15" t="s">
        <v>91</v>
      </c>
      <c r="B63" s="16" t="s">
        <v>73</v>
      </c>
      <c r="C63" s="16">
        <v>5</v>
      </c>
    </row>
    <row r="64" spans="1:3" x14ac:dyDescent="0.25">
      <c r="A64" s="15" t="s">
        <v>92</v>
      </c>
      <c r="B64" s="16" t="s">
        <v>50</v>
      </c>
      <c r="C64" s="16">
        <v>5</v>
      </c>
    </row>
    <row r="65" spans="1:3" x14ac:dyDescent="0.25">
      <c r="A65" s="15" t="s">
        <v>93</v>
      </c>
      <c r="B65" s="16" t="s">
        <v>67</v>
      </c>
      <c r="C65" s="16">
        <v>7.5</v>
      </c>
    </row>
    <row r="66" spans="1:3" x14ac:dyDescent="0.25">
      <c r="A66" s="15" t="s">
        <v>94</v>
      </c>
      <c r="B66" s="16" t="s">
        <v>67</v>
      </c>
      <c r="C66" s="16">
        <v>50</v>
      </c>
    </row>
    <row r="67" spans="1:3" x14ac:dyDescent="0.25">
      <c r="A67" s="15" t="s">
        <v>54</v>
      </c>
      <c r="B67" s="16" t="s">
        <v>55</v>
      </c>
      <c r="C67" s="16"/>
    </row>
    <row r="68" spans="1:3" x14ac:dyDescent="0.25">
      <c r="A68" s="15" t="s">
        <v>56</v>
      </c>
      <c r="B68" s="16" t="s">
        <v>57</v>
      </c>
      <c r="C68" s="16"/>
    </row>
    <row r="69" spans="1:3" x14ac:dyDescent="0.25">
      <c r="A69" s="15" t="s">
        <v>58</v>
      </c>
      <c r="B69" s="16" t="s">
        <v>57</v>
      </c>
      <c r="C69" s="16"/>
    </row>
    <row r="70" spans="1:3" x14ac:dyDescent="0.25">
      <c r="A70" s="15" t="s">
        <v>59</v>
      </c>
      <c r="B70" s="16">
        <v>30</v>
      </c>
      <c r="C70" s="16"/>
    </row>
    <row r="73" spans="1:3" x14ac:dyDescent="0.25">
      <c r="A73" s="45" t="s">
        <v>0</v>
      </c>
      <c r="B73" s="46"/>
      <c r="C73" s="46"/>
    </row>
    <row r="74" spans="1:3" x14ac:dyDescent="0.25">
      <c r="A74" s="5" t="s">
        <v>1</v>
      </c>
      <c r="B74" s="14" t="s">
        <v>2</v>
      </c>
      <c r="C74" s="14" t="s">
        <v>3</v>
      </c>
    </row>
    <row r="75" spans="1:3" x14ac:dyDescent="0.25">
      <c r="A75" s="43" t="s">
        <v>95</v>
      </c>
      <c r="B75" s="44"/>
      <c r="C75" s="44"/>
    </row>
    <row r="76" spans="1:3" x14ac:dyDescent="0.25">
      <c r="A76" s="4" t="s">
        <v>8</v>
      </c>
      <c r="B76" s="3" t="s">
        <v>46</v>
      </c>
      <c r="C76" s="3" t="s">
        <v>96</v>
      </c>
    </row>
    <row r="77" spans="1:3" x14ac:dyDescent="0.25">
      <c r="A77" s="4" t="s">
        <v>5</v>
      </c>
      <c r="B77" s="3" t="s">
        <v>14</v>
      </c>
      <c r="C77" s="3" t="s">
        <v>97</v>
      </c>
    </row>
    <row r="78" spans="1:3" x14ac:dyDescent="0.25">
      <c r="A78" s="4" t="s">
        <v>52</v>
      </c>
      <c r="B78" s="3" t="s">
        <v>50</v>
      </c>
      <c r="C78" s="3">
        <v>10</v>
      </c>
    </row>
    <row r="79" spans="1:3" x14ac:dyDescent="0.25">
      <c r="A79" s="4" t="s">
        <v>49</v>
      </c>
      <c r="B79" s="3" t="s">
        <v>98</v>
      </c>
      <c r="C79" s="3" t="s">
        <v>99</v>
      </c>
    </row>
    <row r="80" spans="1:3" x14ac:dyDescent="0.25">
      <c r="A80" s="4" t="s">
        <v>54</v>
      </c>
      <c r="B80" s="3" t="s">
        <v>55</v>
      </c>
      <c r="C80" s="3"/>
    </row>
    <row r="81" spans="1:3" x14ac:dyDescent="0.25">
      <c r="A81" s="4" t="s">
        <v>56</v>
      </c>
      <c r="B81" s="3" t="s">
        <v>57</v>
      </c>
      <c r="C81" s="3"/>
    </row>
    <row r="82" spans="1:3" x14ac:dyDescent="0.25">
      <c r="A82" s="4" t="s">
        <v>58</v>
      </c>
      <c r="B82" s="3" t="s">
        <v>57</v>
      </c>
      <c r="C82" s="3"/>
    </row>
    <row r="83" spans="1:3" x14ac:dyDescent="0.25">
      <c r="A83" s="4" t="s">
        <v>59</v>
      </c>
      <c r="B83" s="3">
        <v>30</v>
      </c>
      <c r="C83" s="3"/>
    </row>
    <row r="84" spans="1:3" x14ac:dyDescent="0.25">
      <c r="A84" s="43" t="s">
        <v>60</v>
      </c>
      <c r="B84" s="44"/>
      <c r="C84" s="44"/>
    </row>
    <row r="85" spans="1:3" x14ac:dyDescent="0.25">
      <c r="A85" s="4" t="s">
        <v>28</v>
      </c>
      <c r="B85" s="3" t="s">
        <v>55</v>
      </c>
      <c r="C85" s="3" t="s">
        <v>70</v>
      </c>
    </row>
    <row r="86" spans="1:3" x14ac:dyDescent="0.25">
      <c r="A86" s="4" t="s">
        <v>100</v>
      </c>
      <c r="B86" s="3" t="s">
        <v>46</v>
      </c>
      <c r="C86" s="3" t="s">
        <v>62</v>
      </c>
    </row>
    <row r="87" spans="1:3" x14ac:dyDescent="0.25">
      <c r="A87" s="4" t="s">
        <v>61</v>
      </c>
      <c r="B87" s="3" t="s">
        <v>46</v>
      </c>
      <c r="C87" s="3" t="s">
        <v>101</v>
      </c>
    </row>
    <row r="88" spans="1:3" x14ac:dyDescent="0.25">
      <c r="A88" s="4" t="s">
        <v>26</v>
      </c>
      <c r="B88" s="3" t="s">
        <v>102</v>
      </c>
      <c r="C88" s="3" t="s">
        <v>103</v>
      </c>
    </row>
    <row r="89" spans="1:3" x14ac:dyDescent="0.25">
      <c r="A89" s="4"/>
      <c r="B89" s="3"/>
      <c r="C89" s="3"/>
    </row>
    <row r="90" spans="1:3" x14ac:dyDescent="0.25">
      <c r="A90" s="43" t="s">
        <v>104</v>
      </c>
      <c r="B90" s="44"/>
      <c r="C90" s="44"/>
    </row>
    <row r="91" spans="1:3" x14ac:dyDescent="0.25">
      <c r="A91" s="4" t="s">
        <v>72</v>
      </c>
      <c r="B91" s="3" t="s">
        <v>105</v>
      </c>
      <c r="C91" s="3"/>
    </row>
    <row r="92" spans="1:3" x14ac:dyDescent="0.25">
      <c r="A92" s="4" t="s">
        <v>74</v>
      </c>
      <c r="B92" s="3" t="s">
        <v>47</v>
      </c>
      <c r="C92" s="3" t="s">
        <v>75</v>
      </c>
    </row>
    <row r="93" spans="1:3" x14ac:dyDescent="0.25">
      <c r="A93" s="4" t="s">
        <v>106</v>
      </c>
      <c r="B93" s="3" t="s">
        <v>107</v>
      </c>
      <c r="C93" s="3"/>
    </row>
    <row r="94" spans="1:3" x14ac:dyDescent="0.25">
      <c r="A94" s="4" t="s">
        <v>108</v>
      </c>
      <c r="B94" s="3" t="s">
        <v>109</v>
      </c>
      <c r="C94" s="3"/>
    </row>
    <row r="95" spans="1:3" x14ac:dyDescent="0.25">
      <c r="A95" s="4" t="s">
        <v>110</v>
      </c>
      <c r="B95" s="3" t="s">
        <v>111</v>
      </c>
      <c r="C95" s="3">
        <v>15</v>
      </c>
    </row>
    <row r="96" spans="1:3" x14ac:dyDescent="0.25">
      <c r="A96" s="4" t="s">
        <v>43</v>
      </c>
      <c r="B96" s="3" t="s">
        <v>112</v>
      </c>
      <c r="C96" s="3">
        <v>10</v>
      </c>
    </row>
    <row r="97" spans="1:3" x14ac:dyDescent="0.25">
      <c r="A97" s="4" t="s">
        <v>59</v>
      </c>
      <c r="B97" s="3">
        <v>30</v>
      </c>
      <c r="C97" s="3"/>
    </row>
    <row r="98" spans="1:3" x14ac:dyDescent="0.25">
      <c r="A98" s="43" t="s">
        <v>79</v>
      </c>
      <c r="B98" s="44"/>
      <c r="C98" s="44"/>
    </row>
    <row r="99" spans="1:3" x14ac:dyDescent="0.25">
      <c r="A99" s="4" t="s">
        <v>113</v>
      </c>
      <c r="B99" s="3" t="s">
        <v>47</v>
      </c>
      <c r="C99" s="3" t="s">
        <v>75</v>
      </c>
    </row>
    <row r="100" spans="1:3" x14ac:dyDescent="0.25">
      <c r="A100" s="4" t="s">
        <v>114</v>
      </c>
      <c r="B100" s="3" t="s">
        <v>111</v>
      </c>
      <c r="C100" s="3">
        <v>12.5</v>
      </c>
    </row>
    <row r="101" spans="1:3" x14ac:dyDescent="0.25">
      <c r="A101" s="4" t="s">
        <v>16</v>
      </c>
      <c r="B101" s="3" t="s">
        <v>50</v>
      </c>
      <c r="C101" s="3" t="s">
        <v>115</v>
      </c>
    </row>
    <row r="102" spans="1:3" x14ac:dyDescent="0.25">
      <c r="A102" s="4" t="s">
        <v>84</v>
      </c>
      <c r="B102" s="3" t="s">
        <v>67</v>
      </c>
      <c r="C102" s="3" t="s">
        <v>115</v>
      </c>
    </row>
    <row r="103" spans="1:3" x14ac:dyDescent="0.25">
      <c r="A103" s="4" t="s">
        <v>116</v>
      </c>
      <c r="B103" s="3" t="s">
        <v>73</v>
      </c>
      <c r="C103" s="3">
        <v>35</v>
      </c>
    </row>
    <row r="104" spans="1:3" x14ac:dyDescent="0.25">
      <c r="A104" s="4" t="s">
        <v>59</v>
      </c>
      <c r="B104" s="3">
        <v>30</v>
      </c>
      <c r="C104" s="3"/>
    </row>
    <row r="105" spans="1:3" x14ac:dyDescent="0.25">
      <c r="A105" s="43" t="s">
        <v>86</v>
      </c>
      <c r="B105" s="44"/>
      <c r="C105" s="44"/>
    </row>
    <row r="106" spans="1:3" x14ac:dyDescent="0.25">
      <c r="A106" s="4" t="s">
        <v>117</v>
      </c>
      <c r="B106" s="42" t="s">
        <v>107</v>
      </c>
      <c r="C106" s="3">
        <v>13</v>
      </c>
    </row>
    <row r="107" spans="1:3" x14ac:dyDescent="0.25">
      <c r="A107" s="4" t="s">
        <v>118</v>
      </c>
      <c r="B107" s="42"/>
      <c r="C107" s="3">
        <v>13</v>
      </c>
    </row>
    <row r="108" spans="1:3" x14ac:dyDescent="0.25">
      <c r="A108" s="4" t="s">
        <v>119</v>
      </c>
      <c r="B108" s="42" t="s">
        <v>107</v>
      </c>
      <c r="C108" s="3">
        <v>20</v>
      </c>
    </row>
    <row r="109" spans="1:3" x14ac:dyDescent="0.25">
      <c r="A109" s="4" t="s">
        <v>120</v>
      </c>
      <c r="B109" s="42"/>
      <c r="C109" s="3">
        <v>15</v>
      </c>
    </row>
    <row r="110" spans="1:3" x14ac:dyDescent="0.25">
      <c r="A110" s="4" t="s">
        <v>121</v>
      </c>
      <c r="B110" s="42" t="s">
        <v>50</v>
      </c>
      <c r="C110" s="3">
        <v>10</v>
      </c>
    </row>
    <row r="111" spans="1:3" x14ac:dyDescent="0.25">
      <c r="A111" s="4" t="s">
        <v>122</v>
      </c>
      <c r="B111" s="42"/>
      <c r="C111" s="3">
        <v>40</v>
      </c>
    </row>
    <row r="114" spans="1:3" x14ac:dyDescent="0.25">
      <c r="A114" s="50" t="s">
        <v>0</v>
      </c>
      <c r="B114" s="51"/>
      <c r="C114" s="52"/>
    </row>
    <row r="115" spans="1:3" x14ac:dyDescent="0.25">
      <c r="A115" s="6" t="s">
        <v>1</v>
      </c>
      <c r="B115" s="14" t="s">
        <v>2</v>
      </c>
      <c r="C115" s="7" t="s">
        <v>3</v>
      </c>
    </row>
    <row r="116" spans="1:3" x14ac:dyDescent="0.25">
      <c r="A116" s="47" t="s">
        <v>161</v>
      </c>
      <c r="B116" s="44"/>
      <c r="C116" s="48"/>
    </row>
    <row r="117" spans="1:3" x14ac:dyDescent="0.25">
      <c r="A117" s="8" t="s">
        <v>123</v>
      </c>
      <c r="B117" s="3" t="s">
        <v>124</v>
      </c>
      <c r="C117" s="9">
        <v>12.5</v>
      </c>
    </row>
    <row r="118" spans="1:3" x14ac:dyDescent="0.25">
      <c r="A118" s="8" t="s">
        <v>125</v>
      </c>
      <c r="B118" s="3" t="s">
        <v>126</v>
      </c>
      <c r="C118" s="9" t="s">
        <v>97</v>
      </c>
    </row>
    <row r="119" spans="1:3" x14ac:dyDescent="0.25">
      <c r="A119" s="8" t="s">
        <v>127</v>
      </c>
      <c r="B119" s="3" t="s">
        <v>126</v>
      </c>
      <c r="C119" s="9" t="s">
        <v>128</v>
      </c>
    </row>
    <row r="120" spans="1:3" x14ac:dyDescent="0.25">
      <c r="A120" s="8" t="s">
        <v>129</v>
      </c>
      <c r="B120" s="53" t="s">
        <v>130</v>
      </c>
      <c r="C120" s="9">
        <v>30</v>
      </c>
    </row>
    <row r="121" spans="1:3" x14ac:dyDescent="0.25">
      <c r="A121" s="8" t="s">
        <v>131</v>
      </c>
      <c r="B121" s="55"/>
      <c r="C121" s="9"/>
    </row>
    <row r="122" spans="1:3" x14ac:dyDescent="0.25">
      <c r="A122" s="47" t="s">
        <v>162</v>
      </c>
      <c r="B122" s="44"/>
      <c r="C122" s="48"/>
    </row>
    <row r="123" spans="1:3" x14ac:dyDescent="0.25">
      <c r="A123" s="8" t="s">
        <v>28</v>
      </c>
      <c r="B123" s="3" t="s">
        <v>124</v>
      </c>
      <c r="C123" s="9">
        <v>20</v>
      </c>
    </row>
    <row r="124" spans="1:3" x14ac:dyDescent="0.25">
      <c r="A124" s="8" t="s">
        <v>100</v>
      </c>
      <c r="B124" s="3" t="s">
        <v>46</v>
      </c>
      <c r="C124" s="9" t="s">
        <v>132</v>
      </c>
    </row>
    <row r="125" spans="1:3" x14ac:dyDescent="0.25">
      <c r="A125" s="8" t="s">
        <v>61</v>
      </c>
      <c r="B125" s="3" t="s">
        <v>46</v>
      </c>
      <c r="C125" s="9" t="s">
        <v>101</v>
      </c>
    </row>
    <row r="126" spans="1:3" x14ac:dyDescent="0.25">
      <c r="A126" s="8" t="s">
        <v>26</v>
      </c>
      <c r="B126" s="3" t="s">
        <v>102</v>
      </c>
      <c r="C126" s="9" t="s">
        <v>133</v>
      </c>
    </row>
    <row r="127" spans="1:3" x14ac:dyDescent="0.25">
      <c r="A127" s="47" t="s">
        <v>163</v>
      </c>
      <c r="B127" s="44"/>
      <c r="C127" s="48"/>
    </row>
    <row r="128" spans="1:3" x14ac:dyDescent="0.25">
      <c r="A128" s="8" t="s">
        <v>134</v>
      </c>
      <c r="B128" s="3" t="s">
        <v>83</v>
      </c>
      <c r="C128" s="9"/>
    </row>
    <row r="129" spans="1:3" x14ac:dyDescent="0.25">
      <c r="A129" s="8" t="s">
        <v>135</v>
      </c>
      <c r="B129" s="3" t="s">
        <v>47</v>
      </c>
      <c r="C129" s="9"/>
    </row>
    <row r="130" spans="1:3" x14ac:dyDescent="0.25">
      <c r="A130" s="8" t="s">
        <v>74</v>
      </c>
      <c r="B130" s="3" t="s">
        <v>124</v>
      </c>
      <c r="C130" s="9" t="s">
        <v>75</v>
      </c>
    </row>
    <row r="131" spans="1:3" x14ac:dyDescent="0.25">
      <c r="A131" s="8" t="s">
        <v>108</v>
      </c>
      <c r="B131" s="3" t="s">
        <v>47</v>
      </c>
      <c r="C131" s="9" t="s">
        <v>136</v>
      </c>
    </row>
    <row r="132" spans="1:3" x14ac:dyDescent="0.25">
      <c r="A132" s="8" t="s">
        <v>78</v>
      </c>
      <c r="B132" s="3" t="s">
        <v>47</v>
      </c>
      <c r="C132" s="9" t="s">
        <v>137</v>
      </c>
    </row>
    <row r="133" spans="1:3" x14ac:dyDescent="0.25">
      <c r="A133" s="8" t="s">
        <v>138</v>
      </c>
      <c r="B133" s="53" t="s">
        <v>107</v>
      </c>
      <c r="C133" s="9"/>
    </row>
    <row r="134" spans="1:3" x14ac:dyDescent="0.25">
      <c r="A134" s="8" t="s">
        <v>139</v>
      </c>
      <c r="B134" s="54"/>
      <c r="C134" s="9"/>
    </row>
    <row r="135" spans="1:3" x14ac:dyDescent="0.25">
      <c r="A135" s="8" t="s">
        <v>140</v>
      </c>
      <c r="B135" s="3" t="s">
        <v>141</v>
      </c>
      <c r="C135" s="9"/>
    </row>
    <row r="136" spans="1:3" x14ac:dyDescent="0.25">
      <c r="A136" s="47" t="s">
        <v>188</v>
      </c>
      <c r="B136" s="44"/>
      <c r="C136" s="48"/>
    </row>
    <row r="137" spans="1:3" x14ac:dyDescent="0.25">
      <c r="A137" s="8" t="s">
        <v>142</v>
      </c>
      <c r="B137" s="3" t="s">
        <v>124</v>
      </c>
      <c r="C137" s="9">
        <v>15</v>
      </c>
    </row>
    <row r="138" spans="1:3" x14ac:dyDescent="0.25">
      <c r="A138" s="8" t="s">
        <v>113</v>
      </c>
      <c r="B138" s="3" t="s">
        <v>143</v>
      </c>
      <c r="C138" s="9" t="s">
        <v>75</v>
      </c>
    </row>
    <row r="139" spans="1:3" x14ac:dyDescent="0.25">
      <c r="A139" s="8" t="s">
        <v>82</v>
      </c>
      <c r="B139" s="3" t="s">
        <v>107</v>
      </c>
      <c r="C139" s="9" t="s">
        <v>144</v>
      </c>
    </row>
    <row r="140" spans="1:3" x14ac:dyDescent="0.25">
      <c r="A140" s="10" t="s">
        <v>145</v>
      </c>
      <c r="B140" s="3" t="s">
        <v>146</v>
      </c>
      <c r="C140" s="9" t="s">
        <v>147</v>
      </c>
    </row>
    <row r="141" spans="1:3" x14ac:dyDescent="0.25">
      <c r="A141" s="8"/>
      <c r="B141" s="3"/>
      <c r="C141" s="9"/>
    </row>
    <row r="142" spans="1:3" x14ac:dyDescent="0.25">
      <c r="A142" s="47" t="s">
        <v>148</v>
      </c>
      <c r="B142" s="44"/>
      <c r="C142" s="48"/>
    </row>
    <row r="143" spans="1:3" x14ac:dyDescent="0.25">
      <c r="A143" s="8" t="s">
        <v>31</v>
      </c>
      <c r="B143" s="13" t="s">
        <v>47</v>
      </c>
      <c r="C143" s="9" t="s">
        <v>149</v>
      </c>
    </row>
    <row r="144" spans="1:3" x14ac:dyDescent="0.25">
      <c r="A144" s="8" t="s">
        <v>150</v>
      </c>
      <c r="B144" s="13" t="s">
        <v>151</v>
      </c>
      <c r="C144" s="9">
        <v>10</v>
      </c>
    </row>
    <row r="145" spans="1:3" x14ac:dyDescent="0.25">
      <c r="A145" s="8" t="s">
        <v>152</v>
      </c>
      <c r="B145" s="13" t="s">
        <v>37</v>
      </c>
      <c r="C145" s="9">
        <v>20</v>
      </c>
    </row>
    <row r="146" spans="1:3" x14ac:dyDescent="0.25">
      <c r="A146" s="8" t="s">
        <v>153</v>
      </c>
      <c r="B146" s="13" t="s">
        <v>151</v>
      </c>
      <c r="C146" s="9">
        <v>10</v>
      </c>
    </row>
    <row r="147" spans="1:3" x14ac:dyDescent="0.25">
      <c r="A147" s="8" t="s">
        <v>121</v>
      </c>
      <c r="B147" s="42" t="s">
        <v>50</v>
      </c>
      <c r="C147" s="9">
        <v>10</v>
      </c>
    </row>
    <row r="148" spans="1:3" x14ac:dyDescent="0.25">
      <c r="A148" s="11" t="s">
        <v>122</v>
      </c>
      <c r="B148" s="49"/>
      <c r="C148" s="12">
        <v>40</v>
      </c>
    </row>
    <row r="149" spans="1:3" x14ac:dyDescent="0.25">
      <c r="A149" s="56"/>
      <c r="B149" s="56"/>
      <c r="C149" s="56"/>
    </row>
    <row r="150" spans="1:3" x14ac:dyDescent="0.25">
      <c r="A150" s="57"/>
      <c r="B150" s="57"/>
      <c r="C150" s="57"/>
    </row>
    <row r="151" spans="1:3" x14ac:dyDescent="0.25">
      <c r="A151" s="58"/>
      <c r="B151" s="58"/>
      <c r="C151" s="58"/>
    </row>
    <row r="152" spans="1:3" x14ac:dyDescent="0.25">
      <c r="A152" s="50" t="s">
        <v>173</v>
      </c>
      <c r="B152" s="51"/>
      <c r="C152" s="52"/>
    </row>
    <row r="153" spans="1:3" x14ac:dyDescent="0.25">
      <c r="A153" s="6" t="s">
        <v>1</v>
      </c>
      <c r="B153" s="14" t="s">
        <v>2</v>
      </c>
      <c r="C153" s="7" t="s">
        <v>3</v>
      </c>
    </row>
    <row r="154" spans="1:3" x14ac:dyDescent="0.25">
      <c r="A154" s="47" t="s">
        <v>193</v>
      </c>
      <c r="B154" s="44"/>
      <c r="C154" s="48"/>
    </row>
    <row r="155" spans="1:3" x14ac:dyDescent="0.25">
      <c r="A155" s="8" t="s">
        <v>158</v>
      </c>
      <c r="B155" s="3" t="s">
        <v>47</v>
      </c>
      <c r="C155" s="9" t="s">
        <v>244</v>
      </c>
    </row>
    <row r="156" spans="1:3" x14ac:dyDescent="0.25">
      <c r="A156" s="8" t="s">
        <v>159</v>
      </c>
      <c r="B156" s="3" t="s">
        <v>47</v>
      </c>
      <c r="C156" s="9" t="s">
        <v>41</v>
      </c>
    </row>
    <row r="157" spans="1:3" x14ac:dyDescent="0.25">
      <c r="A157" s="8" t="s">
        <v>214</v>
      </c>
      <c r="B157" s="3" t="s">
        <v>215</v>
      </c>
      <c r="C157" s="9" t="s">
        <v>41</v>
      </c>
    </row>
    <row r="158" spans="1:3" x14ac:dyDescent="0.25">
      <c r="A158" s="59" t="s">
        <v>192</v>
      </c>
      <c r="B158" s="60"/>
      <c r="C158" s="61"/>
    </row>
    <row r="159" spans="1:3" x14ac:dyDescent="0.25">
      <c r="A159" s="8" t="s">
        <v>28</v>
      </c>
      <c r="B159" s="3" t="s">
        <v>47</v>
      </c>
      <c r="C159" s="9" t="s">
        <v>41</v>
      </c>
    </row>
    <row r="160" spans="1:3" ht="15.6" customHeight="1" x14ac:dyDescent="0.25">
      <c r="A160" s="29" t="s">
        <v>207</v>
      </c>
      <c r="B160" s="3" t="s">
        <v>47</v>
      </c>
      <c r="C160" s="9" t="s">
        <v>96</v>
      </c>
    </row>
    <row r="161" spans="1:3" x14ac:dyDescent="0.25">
      <c r="A161" s="8" t="s">
        <v>208</v>
      </c>
      <c r="B161" s="3" t="s">
        <v>47</v>
      </c>
      <c r="C161" s="9" t="s">
        <v>96</v>
      </c>
    </row>
    <row r="162" spans="1:3" x14ac:dyDescent="0.25">
      <c r="A162" s="8" t="s">
        <v>164</v>
      </c>
      <c r="B162" s="3" t="s">
        <v>47</v>
      </c>
      <c r="C162" s="9" t="s">
        <v>75</v>
      </c>
    </row>
    <row r="163" spans="1:3" x14ac:dyDescent="0.25">
      <c r="A163" s="47" t="s">
        <v>191</v>
      </c>
      <c r="B163" s="44"/>
      <c r="C163" s="48"/>
    </row>
    <row r="164" spans="1:3" x14ac:dyDescent="0.25">
      <c r="A164" s="8" t="s">
        <v>154</v>
      </c>
      <c r="B164" s="3"/>
      <c r="C164" s="9"/>
    </row>
    <row r="165" spans="1:3" x14ac:dyDescent="0.25">
      <c r="A165" s="47" t="s">
        <v>190</v>
      </c>
      <c r="B165" s="44"/>
      <c r="C165" s="48"/>
    </row>
    <row r="166" spans="1:3" x14ac:dyDescent="0.25">
      <c r="A166" s="8" t="s">
        <v>142</v>
      </c>
      <c r="B166" s="3" t="s">
        <v>47</v>
      </c>
      <c r="C166" s="9" t="s">
        <v>75</v>
      </c>
    </row>
    <row r="167" spans="1:3" x14ac:dyDescent="0.25">
      <c r="A167" s="8" t="s">
        <v>160</v>
      </c>
      <c r="B167" s="3" t="s">
        <v>47</v>
      </c>
      <c r="C167" s="9" t="s">
        <v>75</v>
      </c>
    </row>
    <row r="168" spans="1:3" x14ac:dyDescent="0.25">
      <c r="A168" s="10" t="s">
        <v>155</v>
      </c>
      <c r="B168" s="3" t="s">
        <v>47</v>
      </c>
      <c r="C168" s="9" t="s">
        <v>9</v>
      </c>
    </row>
    <row r="169" spans="1:3" x14ac:dyDescent="0.25">
      <c r="A169" s="8" t="s">
        <v>156</v>
      </c>
      <c r="B169" s="3" t="s">
        <v>47</v>
      </c>
      <c r="C169" s="9" t="s">
        <v>9</v>
      </c>
    </row>
    <row r="170" spans="1:3" x14ac:dyDescent="0.25">
      <c r="A170" s="47" t="s">
        <v>194</v>
      </c>
      <c r="B170" s="44"/>
      <c r="C170" s="48"/>
    </row>
    <row r="171" spans="1:3" x14ac:dyDescent="0.25">
      <c r="A171" s="8" t="s">
        <v>157</v>
      </c>
      <c r="B171" s="13" t="s">
        <v>47</v>
      </c>
      <c r="C171" s="9" t="s">
        <v>75</v>
      </c>
    </row>
    <row r="172" spans="1:3" x14ac:dyDescent="0.25">
      <c r="A172" s="8" t="s">
        <v>196</v>
      </c>
      <c r="B172" s="13" t="s">
        <v>47</v>
      </c>
      <c r="C172" s="9" t="s">
        <v>75</v>
      </c>
    </row>
    <row r="173" spans="1:3" x14ac:dyDescent="0.25">
      <c r="A173" s="8" t="s">
        <v>150</v>
      </c>
      <c r="B173" s="13" t="s">
        <v>47</v>
      </c>
      <c r="C173" s="9" t="s">
        <v>96</v>
      </c>
    </row>
    <row r="174" spans="1:3" x14ac:dyDescent="0.25">
      <c r="A174" s="8" t="s">
        <v>152</v>
      </c>
      <c r="B174" s="13" t="s">
        <v>47</v>
      </c>
      <c r="C174" s="9" t="s">
        <v>41</v>
      </c>
    </row>
    <row r="175" spans="1:3" x14ac:dyDescent="0.25">
      <c r="A175" s="47" t="s">
        <v>195</v>
      </c>
      <c r="B175" s="44"/>
      <c r="C175" s="48"/>
    </row>
    <row r="176" spans="1:3" x14ac:dyDescent="0.25">
      <c r="A176" s="8" t="s">
        <v>218</v>
      </c>
      <c r="B176" s="13" t="s">
        <v>47</v>
      </c>
      <c r="C176" s="9" t="s">
        <v>243</v>
      </c>
    </row>
    <row r="177" spans="1:3" x14ac:dyDescent="0.25">
      <c r="A177" s="8" t="s">
        <v>219</v>
      </c>
      <c r="B177" s="13" t="s">
        <v>47</v>
      </c>
      <c r="C177" s="9" t="s">
        <v>243</v>
      </c>
    </row>
  </sheetData>
  <mergeCells count="36">
    <mergeCell ref="A149:C151"/>
    <mergeCell ref="A175:C175"/>
    <mergeCell ref="A165:C165"/>
    <mergeCell ref="A170:C170"/>
    <mergeCell ref="A152:C152"/>
    <mergeCell ref="A154:C154"/>
    <mergeCell ref="A158:C158"/>
    <mergeCell ref="A163:C163"/>
    <mergeCell ref="A142:C142"/>
    <mergeCell ref="B147:B148"/>
    <mergeCell ref="A114:C114"/>
    <mergeCell ref="A116:C116"/>
    <mergeCell ref="A122:C122"/>
    <mergeCell ref="A127:C127"/>
    <mergeCell ref="A136:C136"/>
    <mergeCell ref="B133:B134"/>
    <mergeCell ref="B120:B121"/>
    <mergeCell ref="B106:B107"/>
    <mergeCell ref="B108:B109"/>
    <mergeCell ref="B110:B111"/>
    <mergeCell ref="A30:C30"/>
    <mergeCell ref="A39:C39"/>
    <mergeCell ref="A45:C45"/>
    <mergeCell ref="A53:C53"/>
    <mergeCell ref="A60:C60"/>
    <mergeCell ref="A105:C105"/>
    <mergeCell ref="A73:C73"/>
    <mergeCell ref="A75:C75"/>
    <mergeCell ref="A84:C84"/>
    <mergeCell ref="A90:C90"/>
    <mergeCell ref="A98:C98"/>
    <mergeCell ref="A4:C4"/>
    <mergeCell ref="A12:C12"/>
    <mergeCell ref="A19:C19"/>
    <mergeCell ref="A2:C2"/>
    <mergeCell ref="A28:C28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E761F-1FF3-447A-ABBE-0DAF77609698}">
  <dimension ref="A1:G295"/>
  <sheetViews>
    <sheetView tabSelected="1" topLeftCell="A281" workbookViewId="0">
      <selection activeCell="A295" sqref="A295"/>
    </sheetView>
  </sheetViews>
  <sheetFormatPr defaultRowHeight="15" x14ac:dyDescent="0.25"/>
  <cols>
    <col min="1" max="1" width="18.5" style="22" bestFit="1" customWidth="1"/>
    <col min="2" max="2" width="15.625" style="22" bestFit="1" customWidth="1"/>
    <col min="3" max="3" width="41.5" style="21" bestFit="1" customWidth="1"/>
    <col min="4" max="4" width="13.875" style="26" customWidth="1"/>
    <col min="5" max="5" width="13.125" style="19" bestFit="1" customWidth="1"/>
    <col min="6" max="6" width="42.625" style="25" customWidth="1"/>
    <col min="7" max="7" width="12.5" customWidth="1"/>
    <col min="8" max="8" width="21.875" bestFit="1" customWidth="1"/>
    <col min="9" max="10" width="9.375" bestFit="1" customWidth="1"/>
    <col min="11" max="11" width="12.25" bestFit="1" customWidth="1"/>
  </cols>
  <sheetData>
    <row r="1" spans="1:7" x14ac:dyDescent="0.25">
      <c r="A1" s="22" t="s">
        <v>165</v>
      </c>
      <c r="B1" s="22" t="s">
        <v>166</v>
      </c>
      <c r="C1" s="21" t="s">
        <v>167</v>
      </c>
      <c r="D1" s="26" t="s">
        <v>210</v>
      </c>
      <c r="E1" s="19" t="s">
        <v>180</v>
      </c>
      <c r="F1" s="24" t="s">
        <v>176</v>
      </c>
      <c r="G1" s="18" t="s">
        <v>199</v>
      </c>
    </row>
    <row r="2" spans="1:7" x14ac:dyDescent="0.25">
      <c r="A2" s="22" t="s">
        <v>173</v>
      </c>
      <c r="B2" s="22" t="s">
        <v>169</v>
      </c>
      <c r="C2" s="21">
        <v>45533</v>
      </c>
      <c r="D2" s="26">
        <v>0</v>
      </c>
      <c r="E2" s="19" t="str">
        <f>TEXT(Table1[[#This Row],[DATE]],"yyyy-mm")</f>
        <v>2024-08</v>
      </c>
      <c r="F2" s="24" t="s">
        <v>177</v>
      </c>
      <c r="G2" s="27"/>
    </row>
    <row r="3" spans="1:7" x14ac:dyDescent="0.25">
      <c r="A3" s="22" t="s">
        <v>173</v>
      </c>
      <c r="B3" s="22" t="s">
        <v>170</v>
      </c>
      <c r="C3" s="21">
        <v>45534</v>
      </c>
      <c r="D3" s="26">
        <f>IF(IF(C2="", "", Table1[[#This Row],[DATE]]-C2-1) &lt; 0, 0, IF(C2="", "", Table1[[#This Row],[DATE]]-C2-1))</f>
        <v>0</v>
      </c>
      <c r="E3" s="19" t="str">
        <f>TEXT(Table1[[#This Row],[DATE]],"yyyy-mm")</f>
        <v>2024-08</v>
      </c>
      <c r="F3" s="24" t="s">
        <v>179</v>
      </c>
      <c r="G3" s="27"/>
    </row>
    <row r="4" spans="1:7" x14ac:dyDescent="0.25">
      <c r="A4" s="22" t="s">
        <v>173</v>
      </c>
      <c r="B4" s="22" t="s">
        <v>171</v>
      </c>
      <c r="C4" s="21">
        <v>45535</v>
      </c>
      <c r="D4" s="26">
        <f>IF(IF(C3="", "", Table1[[#This Row],[DATE]]-C3-1) &lt; 0, 0, IF(C3="", "", Table1[[#This Row],[DATE]]-C3-1))</f>
        <v>0</v>
      </c>
      <c r="E4" s="19" t="str">
        <f>TEXT(Table1[[#This Row],[DATE]],"yyyy-mm")</f>
        <v>2024-08</v>
      </c>
      <c r="F4" s="24" t="s">
        <v>179</v>
      </c>
      <c r="G4" s="27"/>
    </row>
    <row r="5" spans="1:7" x14ac:dyDescent="0.25">
      <c r="A5" s="22" t="s">
        <v>173</v>
      </c>
      <c r="B5" s="22" t="s">
        <v>172</v>
      </c>
      <c r="C5" s="21">
        <v>45536</v>
      </c>
      <c r="D5" s="26">
        <f>IF(IF(C4="", "", Table1[[#This Row],[DATE]]-C4-1) &lt; 0, 0, IF(C4="", "", Table1[[#This Row],[DATE]]-C4-1))</f>
        <v>0</v>
      </c>
      <c r="E5" s="19" t="str">
        <f>TEXT(Table1[[#This Row],[DATE]],"yyyy-mm")</f>
        <v>2024-09</v>
      </c>
      <c r="F5" s="24" t="s">
        <v>178</v>
      </c>
      <c r="G5" s="27"/>
    </row>
    <row r="6" spans="1:7" x14ac:dyDescent="0.25">
      <c r="A6" s="22" t="s">
        <v>173</v>
      </c>
      <c r="B6" s="22" t="s">
        <v>169</v>
      </c>
      <c r="C6" s="21">
        <v>45538</v>
      </c>
      <c r="D6" s="26">
        <f>IF(IF(C5="", "", Table1[[#This Row],[DATE]]-C5-1) &lt; 0, 0, IF(C5="", "", Table1[[#This Row],[DATE]]-C5-1))</f>
        <v>1</v>
      </c>
      <c r="E6" s="19" t="str">
        <f>TEXT(Table1[[#This Row],[DATE]],"yyyy-mm")</f>
        <v>2024-09</v>
      </c>
      <c r="F6" s="24"/>
      <c r="G6" s="28"/>
    </row>
    <row r="7" spans="1:7" x14ac:dyDescent="0.25">
      <c r="A7" s="22" t="s">
        <v>173</v>
      </c>
      <c r="B7" s="22" t="s">
        <v>170</v>
      </c>
      <c r="C7" s="21">
        <v>45539</v>
      </c>
      <c r="D7" s="26">
        <f>IF(IF(C6="", "", Table1[[#This Row],[DATE]]-C6-1) &lt; 0, 0, IF(C6="", "", Table1[[#This Row],[DATE]]-C6-1))</f>
        <v>0</v>
      </c>
      <c r="E7" s="19" t="str">
        <f>TEXT(Table1[[#This Row],[DATE]],"yyyy-mm")</f>
        <v>2024-09</v>
      </c>
      <c r="F7" s="24" t="s">
        <v>200</v>
      </c>
      <c r="G7" s="28"/>
    </row>
    <row r="8" spans="1:7" x14ac:dyDescent="0.25">
      <c r="A8" s="22" t="s">
        <v>173</v>
      </c>
      <c r="B8" s="22" t="s">
        <v>171</v>
      </c>
      <c r="C8" s="21">
        <v>45541</v>
      </c>
      <c r="D8" s="26">
        <f>IF(IF(C7="", "", Table1[[#This Row],[DATE]]-C7-1) &lt; 0, 0, IF(C7="", "", Table1[[#This Row],[DATE]]-C7-1))</f>
        <v>1</v>
      </c>
      <c r="E8" s="19" t="str">
        <f>TEXT(Table1[[#This Row],[DATE]],"yyyy-mm")</f>
        <v>2024-09</v>
      </c>
      <c r="F8" s="24" t="s">
        <v>201</v>
      </c>
      <c r="G8" s="28"/>
    </row>
    <row r="9" spans="1:7" x14ac:dyDescent="0.25">
      <c r="A9" s="22" t="s">
        <v>173</v>
      </c>
      <c r="B9" s="22" t="s">
        <v>172</v>
      </c>
      <c r="C9" s="21">
        <v>45542</v>
      </c>
      <c r="D9" s="26">
        <f>IF(IF(C8="", "", Table1[[#This Row],[DATE]]-C8-1) &lt; 0, 0, IF(C8="", "", Table1[[#This Row],[DATE]]-C8-1))</f>
        <v>0</v>
      </c>
      <c r="E9" s="19" t="str">
        <f>TEXT(Table1[[#This Row],[DATE]],"yyyy-mm")</f>
        <v>2024-09</v>
      </c>
      <c r="F9" s="24" t="s">
        <v>183</v>
      </c>
      <c r="G9" s="28"/>
    </row>
    <row r="10" spans="1:7" x14ac:dyDescent="0.25">
      <c r="A10" s="22" t="s">
        <v>173</v>
      </c>
      <c r="B10" s="22" t="s">
        <v>181</v>
      </c>
      <c r="C10" s="21">
        <v>45542</v>
      </c>
      <c r="D10" s="26">
        <f>IF(IF(C9="", "", Table1[[#This Row],[DATE]]-C9-1) &lt; 0, 0, IF(C9="", "", Table1[[#This Row],[DATE]]-C9-1))</f>
        <v>0</v>
      </c>
      <c r="E10" s="19" t="str">
        <f>TEXT(Table1[[#This Row],[DATE]],"yyyy-mm")</f>
        <v>2024-09</v>
      </c>
      <c r="F10" s="24"/>
      <c r="G10" s="28"/>
    </row>
    <row r="11" spans="1:7" x14ac:dyDescent="0.25">
      <c r="A11" s="22" t="s">
        <v>173</v>
      </c>
      <c r="B11" s="22" t="s">
        <v>169</v>
      </c>
      <c r="C11" s="21">
        <v>45543</v>
      </c>
      <c r="D11" s="26">
        <f>IF(IF(C10="", "", Table1[[#This Row],[DATE]]-C10-1) &lt; 0, 0, IF(C10="", "", Table1[[#This Row],[DATE]]-C10-1))</f>
        <v>0</v>
      </c>
      <c r="E11" s="19" t="str">
        <f>TEXT(Table1[[#This Row],[DATE]],"yyyy-mm")</f>
        <v>2024-09</v>
      </c>
      <c r="F11" s="24"/>
      <c r="G11" s="28"/>
    </row>
    <row r="12" spans="1:7" x14ac:dyDescent="0.25">
      <c r="A12" s="22" t="s">
        <v>173</v>
      </c>
      <c r="B12" s="22" t="s">
        <v>170</v>
      </c>
      <c r="C12" s="21">
        <v>45546</v>
      </c>
      <c r="D12" s="26">
        <f>IF(IF(C11="", "", Table1[[#This Row],[DATE]]-C11-1) &lt; 0, 0, IF(C11="", "", Table1[[#This Row],[DATE]]-C11-1))</f>
        <v>2</v>
      </c>
      <c r="E12" s="19" t="str">
        <f>TEXT(Table1[[#This Row],[DATE]],"yyyy-mm")</f>
        <v>2024-09</v>
      </c>
      <c r="F12" s="24"/>
      <c r="G12" s="28"/>
    </row>
    <row r="13" spans="1:7" x14ac:dyDescent="0.25">
      <c r="A13" s="22" t="s">
        <v>173</v>
      </c>
      <c r="B13" s="22" t="s">
        <v>171</v>
      </c>
      <c r="C13" s="21">
        <v>45547</v>
      </c>
      <c r="D13" s="26">
        <f>IF(IF(C12="", "", Table1[[#This Row],[DATE]]-C12-1) &lt; 0, 0, IF(C12="", "", Table1[[#This Row],[DATE]]-C12-1))</f>
        <v>0</v>
      </c>
      <c r="E13" s="19" t="str">
        <f>TEXT(Table1[[#This Row],[DATE]],"yyyy-mm")</f>
        <v>2024-09</v>
      </c>
      <c r="F13" s="24"/>
      <c r="G13" s="28"/>
    </row>
    <row r="14" spans="1:7" x14ac:dyDescent="0.25">
      <c r="A14" s="22" t="s">
        <v>173</v>
      </c>
      <c r="B14" s="22" t="s">
        <v>172</v>
      </c>
      <c r="C14" s="21">
        <v>45550</v>
      </c>
      <c r="D14" s="26">
        <f>IF(IF(C13="", "", Table1[[#This Row],[DATE]]-C13-1) &lt; 0, 0, IF(C13="", "", Table1[[#This Row],[DATE]]-C13-1))</f>
        <v>2</v>
      </c>
      <c r="E14" s="19" t="str">
        <f>TEXT(Table1[[#This Row],[DATE]],"yyyy-mm")</f>
        <v>2024-09</v>
      </c>
      <c r="F14" s="24"/>
      <c r="G14" s="28"/>
    </row>
    <row r="15" spans="1:7" x14ac:dyDescent="0.25">
      <c r="A15" s="22" t="s">
        <v>173</v>
      </c>
      <c r="B15" s="22" t="s">
        <v>181</v>
      </c>
      <c r="C15" s="21">
        <v>45550</v>
      </c>
      <c r="D15" s="26">
        <f>IF(IF(C14="", "", Table1[[#This Row],[DATE]]-C14-1) &lt; 0, 0, IF(C14="", "", Table1[[#This Row],[DATE]]-C14-1))</f>
        <v>0</v>
      </c>
      <c r="E15" s="19" t="str">
        <f>TEXT(Table1[[#This Row],[DATE]],"yyyy-mm")</f>
        <v>2024-09</v>
      </c>
      <c r="F15" s="24"/>
      <c r="G15" s="28"/>
    </row>
    <row r="16" spans="1:7" x14ac:dyDescent="0.25">
      <c r="A16" s="22" t="s">
        <v>173</v>
      </c>
      <c r="B16" s="22" t="s">
        <v>169</v>
      </c>
      <c r="C16" s="21">
        <v>45551</v>
      </c>
      <c r="D16" s="26">
        <f>IF(IF(C15="", "", Table1[[#This Row],[DATE]]-C15-1) &lt; 0, 0, IF(C15="", "", Table1[[#This Row],[DATE]]-C15-1))</f>
        <v>0</v>
      </c>
      <c r="E16" s="19" t="str">
        <f>TEXT(Table1[[#This Row],[DATE]],"yyyy-mm")</f>
        <v>2024-09</v>
      </c>
      <c r="F16" s="24" t="s">
        <v>184</v>
      </c>
      <c r="G16" s="28"/>
    </row>
    <row r="17" spans="1:7" ht="14.1" customHeight="1" x14ac:dyDescent="0.25">
      <c r="A17" s="22" t="s">
        <v>173</v>
      </c>
      <c r="B17" s="22" t="s">
        <v>185</v>
      </c>
      <c r="C17" s="21">
        <v>45551</v>
      </c>
      <c r="D17" s="26">
        <f>IF(IF(C16="", "", Table1[[#This Row],[DATE]]-C16-1) &lt; 0, 0, IF(C16="", "", Table1[[#This Row],[DATE]]-C16-1))</f>
        <v>0</v>
      </c>
      <c r="E17" s="19" t="str">
        <f>TEXT(Table1[[#This Row],[DATE]],"yyyy-mm")</f>
        <v>2024-09</v>
      </c>
      <c r="F17" s="24" t="s">
        <v>186</v>
      </c>
      <c r="G17" s="28"/>
    </row>
    <row r="18" spans="1:7" x14ac:dyDescent="0.25">
      <c r="A18" s="22" t="s">
        <v>173</v>
      </c>
      <c r="B18" s="22" t="s">
        <v>170</v>
      </c>
      <c r="C18" s="21">
        <v>45552</v>
      </c>
      <c r="D18" s="26">
        <f>IF(IF(C17="", "", Table1[[#This Row],[DATE]]-C17-1) &lt; 0, 0, IF(C17="", "", Table1[[#This Row],[DATE]]-C17-1))</f>
        <v>0</v>
      </c>
      <c r="E18" s="19" t="str">
        <f>TEXT(Table1[[#This Row],[DATE]],"yyyy-mm")</f>
        <v>2024-09</v>
      </c>
      <c r="F18" s="24" t="s">
        <v>202</v>
      </c>
      <c r="G18" s="28"/>
    </row>
    <row r="19" spans="1:7" x14ac:dyDescent="0.25">
      <c r="A19" s="22" t="s">
        <v>173</v>
      </c>
      <c r="B19" s="22" t="s">
        <v>185</v>
      </c>
      <c r="C19" s="21">
        <v>45552</v>
      </c>
      <c r="D19" s="26">
        <f>IF(IF(C18="", "", Table1[[#This Row],[DATE]]-C18-1) &lt; 0, 0, IF(C18="", "", Table1[[#This Row],[DATE]]-C18-1))</f>
        <v>0</v>
      </c>
      <c r="E19" s="19" t="str">
        <f>TEXT(Table1[[#This Row],[DATE]],"yyyy-mm")</f>
        <v>2024-09</v>
      </c>
      <c r="F19" s="24" t="s">
        <v>186</v>
      </c>
      <c r="G19" s="28"/>
    </row>
    <row r="20" spans="1:7" x14ac:dyDescent="0.25">
      <c r="A20" s="22" t="s">
        <v>173</v>
      </c>
      <c r="B20" s="22" t="s">
        <v>171</v>
      </c>
      <c r="C20" s="21">
        <v>45554</v>
      </c>
      <c r="D20" s="26">
        <f>IF(IF(C19="", "", Table1[[#This Row],[DATE]]-C19-1) &lt; 0, 0, IF(C19="", "", Table1[[#This Row],[DATE]]-C19-1))</f>
        <v>1</v>
      </c>
      <c r="E20" s="19" t="str">
        <f>TEXT(Table1[[#This Row],[DATE]],"yyyy-mm")</f>
        <v>2024-09</v>
      </c>
      <c r="F20" s="24"/>
      <c r="G20" s="28"/>
    </row>
    <row r="21" spans="1:7" x14ac:dyDescent="0.25">
      <c r="A21" s="22" t="s">
        <v>173</v>
      </c>
      <c r="B21" s="22" t="s">
        <v>185</v>
      </c>
      <c r="C21" s="21">
        <v>45554</v>
      </c>
      <c r="D21" s="26">
        <f>IF(IF(C20="", "", Table1[[#This Row],[DATE]]-C20-1) &lt; 0, 0, IF(C20="", "", Table1[[#This Row],[DATE]]-C20-1))</f>
        <v>0</v>
      </c>
      <c r="E21" s="19" t="str">
        <f>TEXT(Table1[[#This Row],[DATE]],"yyyy-mm")</f>
        <v>2024-09</v>
      </c>
      <c r="F21" s="24" t="s">
        <v>186</v>
      </c>
      <c r="G21" s="28"/>
    </row>
    <row r="22" spans="1:7" x14ac:dyDescent="0.25">
      <c r="A22" s="22" t="s">
        <v>173</v>
      </c>
      <c r="B22" s="22" t="s">
        <v>172</v>
      </c>
      <c r="C22" s="21">
        <v>45555</v>
      </c>
      <c r="D22" s="26">
        <f>IF(IF(C21="", "", Table1[[#This Row],[DATE]]-C21-1) &lt; 0, 0, IF(C21="", "", Table1[[#This Row],[DATE]]-C21-1))</f>
        <v>0</v>
      </c>
      <c r="E22" s="19" t="str">
        <f>TEXT(Table1[[#This Row],[DATE]],"yyyy-mm")</f>
        <v>2024-09</v>
      </c>
      <c r="F22" s="24"/>
      <c r="G22" s="28"/>
    </row>
    <row r="23" spans="1:7" x14ac:dyDescent="0.25">
      <c r="A23" s="22" t="s">
        <v>173</v>
      </c>
      <c r="B23" s="22" t="s">
        <v>185</v>
      </c>
      <c r="C23" s="21">
        <v>45555</v>
      </c>
      <c r="D23" s="26">
        <f>IF(IF(C22="", "", Table1[[#This Row],[DATE]]-C22-1) &lt; 0, 0, IF(C22="", "", Table1[[#This Row],[DATE]]-C22-1))</f>
        <v>0</v>
      </c>
      <c r="E23" s="19" t="str">
        <f>TEXT(Table1[[#This Row],[DATE]],"yyyy-mm")</f>
        <v>2024-09</v>
      </c>
      <c r="F23" s="24" t="s">
        <v>186</v>
      </c>
      <c r="G23" s="28"/>
    </row>
    <row r="24" spans="1:7" x14ac:dyDescent="0.25">
      <c r="A24" s="22" t="s">
        <v>173</v>
      </c>
      <c r="B24" s="22" t="s">
        <v>169</v>
      </c>
      <c r="C24" s="21">
        <v>45557</v>
      </c>
      <c r="D24" s="26">
        <f>IF(IF(C23="", "", Table1[[#This Row],[DATE]]-C23-1) &lt; 0, 0, IF(C23="", "", Table1[[#This Row],[DATE]]-C23-1))</f>
        <v>1</v>
      </c>
      <c r="E24" s="19" t="str">
        <f>TEXT(Table1[[#This Row],[DATE]],"yyyy-mm")</f>
        <v>2024-09</v>
      </c>
      <c r="F24" s="24"/>
      <c r="G24" s="28"/>
    </row>
    <row r="25" spans="1:7" x14ac:dyDescent="0.25">
      <c r="A25" s="22" t="s">
        <v>173</v>
      </c>
      <c r="B25" s="22" t="s">
        <v>185</v>
      </c>
      <c r="C25" s="21">
        <v>45557</v>
      </c>
      <c r="D25" s="26">
        <f>IF(IF(C24="", "", Table1[[#This Row],[DATE]]-C24-1) &lt; 0, 0, IF(C24="", "", Table1[[#This Row],[DATE]]-C24-1))</f>
        <v>0</v>
      </c>
      <c r="E25" s="19" t="str">
        <f>TEXT(Table1[[#This Row],[DATE]],"yyyy-mm")</f>
        <v>2024-09</v>
      </c>
      <c r="F25" s="24" t="s">
        <v>186</v>
      </c>
      <c r="G25" s="28"/>
    </row>
    <row r="26" spans="1:7" x14ac:dyDescent="0.25">
      <c r="A26" s="22" t="s">
        <v>173</v>
      </c>
      <c r="B26" s="22" t="s">
        <v>170</v>
      </c>
      <c r="C26" s="21">
        <v>45558</v>
      </c>
      <c r="D26" s="26">
        <f>IF(IF(C25="", "", Table1[[#This Row],[DATE]]-C25-1) &lt; 0, 0, IF(C25="", "", Table1[[#This Row],[DATE]]-C25-1))</f>
        <v>0</v>
      </c>
      <c r="E26" s="19" t="str">
        <f>TEXT(Table1[[#This Row],[DATE]],"yyyy-mm")</f>
        <v>2024-09</v>
      </c>
      <c r="F26" s="24"/>
      <c r="G26" s="28"/>
    </row>
    <row r="27" spans="1:7" x14ac:dyDescent="0.25">
      <c r="A27" s="22" t="s">
        <v>173</v>
      </c>
      <c r="B27" s="22" t="s">
        <v>185</v>
      </c>
      <c r="C27" s="21">
        <v>45558</v>
      </c>
      <c r="D27" s="26">
        <f>IF(IF(C26="", "", Table1[[#This Row],[DATE]]-C26-1) &lt; 0, 0, IF(C26="", "", Table1[[#This Row],[DATE]]-C26-1))</f>
        <v>0</v>
      </c>
      <c r="E27" s="19" t="str">
        <f>TEXT(Table1[[#This Row],[DATE]],"yyyy-mm")</f>
        <v>2024-09</v>
      </c>
      <c r="F27" s="24" t="s">
        <v>186</v>
      </c>
      <c r="G27" s="28"/>
    </row>
    <row r="28" spans="1:7" x14ac:dyDescent="0.25">
      <c r="A28" s="22" t="s">
        <v>173</v>
      </c>
      <c r="B28" s="22" t="s">
        <v>171</v>
      </c>
      <c r="C28" s="21">
        <v>45559</v>
      </c>
      <c r="D28" s="26">
        <f>IF(IF(C27="", "", Table1[[#This Row],[DATE]]-C27-1) &lt; 0, 0, IF(C27="", "", Table1[[#This Row],[DATE]]-C27-1))</f>
        <v>0</v>
      </c>
      <c r="E28" s="19" t="str">
        <f>TEXT(Table1[[#This Row],[DATE]],"yyyy-mm")</f>
        <v>2024-09</v>
      </c>
      <c r="F28" s="24" t="s">
        <v>202</v>
      </c>
      <c r="G28" s="28"/>
    </row>
    <row r="29" spans="1:7" x14ac:dyDescent="0.25">
      <c r="A29" s="22" t="s">
        <v>173</v>
      </c>
      <c r="B29" s="22" t="s">
        <v>185</v>
      </c>
      <c r="C29" s="21">
        <v>45559</v>
      </c>
      <c r="D29" s="26">
        <f>IF(IF(C28="", "", Table1[[#This Row],[DATE]]-C28-1) &lt; 0, 0, IF(C28="", "", Table1[[#This Row],[DATE]]-C28-1))</f>
        <v>0</v>
      </c>
      <c r="E29" s="19" t="str">
        <f>TEXT(Table1[[#This Row],[DATE]],"yyyy-mm")</f>
        <v>2024-09</v>
      </c>
      <c r="F29" s="24" t="s">
        <v>186</v>
      </c>
      <c r="G29" s="28"/>
    </row>
    <row r="30" spans="1:7" x14ac:dyDescent="0.25">
      <c r="A30" s="22" t="s">
        <v>173</v>
      </c>
      <c r="B30" s="22" t="s">
        <v>172</v>
      </c>
      <c r="C30" s="21">
        <v>45560</v>
      </c>
      <c r="D30" s="26">
        <f>IF(IF(C29="", "", Table1[[#This Row],[DATE]]-C29-1) &lt; 0, 0, IF(C29="", "", Table1[[#This Row],[DATE]]-C29-1))</f>
        <v>0</v>
      </c>
      <c r="E30" s="19" t="str">
        <f>TEXT(Table1[[#This Row],[DATE]],"yyyy-mm")</f>
        <v>2024-09</v>
      </c>
      <c r="F30" s="24" t="s">
        <v>202</v>
      </c>
      <c r="G30" s="28"/>
    </row>
    <row r="31" spans="1:7" x14ac:dyDescent="0.25">
      <c r="A31" s="22" t="s">
        <v>173</v>
      </c>
      <c r="B31" s="22" t="s">
        <v>181</v>
      </c>
      <c r="C31" s="21">
        <v>45560</v>
      </c>
      <c r="D31" s="26">
        <f>IF(IF(C30="", "", Table1[[#This Row],[DATE]]-C30-1) &lt; 0, 0, IF(C30="", "", Table1[[#This Row],[DATE]]-C30-1))</f>
        <v>0</v>
      </c>
      <c r="E31" s="19" t="str">
        <f>TEXT(Table1[[#This Row],[DATE]],"yyyy-mm")</f>
        <v>2024-09</v>
      </c>
      <c r="F31" s="24"/>
      <c r="G31" s="28"/>
    </row>
    <row r="32" spans="1:7" x14ac:dyDescent="0.25">
      <c r="A32" s="22" t="s">
        <v>173</v>
      </c>
      <c r="B32" s="22" t="s">
        <v>185</v>
      </c>
      <c r="C32" s="21">
        <v>45560</v>
      </c>
      <c r="D32" s="26">
        <f>IF(IF(C31="", "", Table1[[#This Row],[DATE]]-C31-1) &lt; 0, 0, IF(C31="", "", Table1[[#This Row],[DATE]]-C31-1))</f>
        <v>0</v>
      </c>
      <c r="E32" s="19" t="str">
        <f>TEXT(Table1[[#This Row],[DATE]],"yyyy-mm")</f>
        <v>2024-09</v>
      </c>
      <c r="F32" s="24" t="s">
        <v>186</v>
      </c>
      <c r="G32" s="28"/>
    </row>
    <row r="33" spans="1:7" x14ac:dyDescent="0.25">
      <c r="A33" s="22" t="s">
        <v>173</v>
      </c>
      <c r="B33" s="22" t="s">
        <v>169</v>
      </c>
      <c r="C33" s="21">
        <v>45562</v>
      </c>
      <c r="D33" s="26">
        <f>IF(IF(C32="", "", Table1[[#This Row],[DATE]]-C32-1) &lt; 0, 0, IF(C32="", "", Table1[[#This Row],[DATE]]-C32-1))</f>
        <v>1</v>
      </c>
      <c r="E33" s="19" t="str">
        <f>TEXT(Table1[[#This Row],[DATE]],"yyyy-mm")</f>
        <v>2024-09</v>
      </c>
      <c r="F33" s="24" t="s">
        <v>202</v>
      </c>
      <c r="G33" s="28"/>
    </row>
    <row r="34" spans="1:7" x14ac:dyDescent="0.25">
      <c r="A34" s="22" t="s">
        <v>173</v>
      </c>
      <c r="B34" s="22" t="s">
        <v>185</v>
      </c>
      <c r="C34" s="21">
        <v>45562</v>
      </c>
      <c r="D34" s="26">
        <f>IF(IF(C33="", "", Table1[[#This Row],[DATE]]-C33-1) &lt; 0, 0, IF(C33="", "", Table1[[#This Row],[DATE]]-C33-1))</f>
        <v>0</v>
      </c>
      <c r="E34" s="19" t="str">
        <f>TEXT(Table1[[#This Row],[DATE]],"yyyy-mm")</f>
        <v>2024-09</v>
      </c>
      <c r="F34" s="24" t="s">
        <v>186</v>
      </c>
      <c r="G34" s="28"/>
    </row>
    <row r="35" spans="1:7" x14ac:dyDescent="0.25">
      <c r="A35" s="22" t="s">
        <v>173</v>
      </c>
      <c r="B35" s="22" t="s">
        <v>170</v>
      </c>
      <c r="C35" s="21">
        <v>45566</v>
      </c>
      <c r="D35" s="26">
        <f>IF(IF(C34="", "", Table1[[#This Row],[DATE]]-C34-1) &lt; 0, 0, IF(C34="", "", Table1[[#This Row],[DATE]]-C34-1))</f>
        <v>3</v>
      </c>
      <c r="E35" s="19" t="str">
        <f>TEXT(Table1[[#This Row],[DATE]],"yyyy-mm")</f>
        <v>2024-10</v>
      </c>
      <c r="F35" s="24" t="s">
        <v>202</v>
      </c>
      <c r="G35" s="28"/>
    </row>
    <row r="36" spans="1:7" x14ac:dyDescent="0.25">
      <c r="A36" s="22" t="s">
        <v>173</v>
      </c>
      <c r="B36" s="22" t="s">
        <v>185</v>
      </c>
      <c r="C36" s="21">
        <v>45566</v>
      </c>
      <c r="D36" s="26">
        <f>IF(IF(C35="", "", Table1[[#This Row],[DATE]]-C35-1) &lt; 0, 0, IF(C35="", "", Table1[[#This Row],[DATE]]-C35-1))</f>
        <v>0</v>
      </c>
      <c r="E36" s="19" t="str">
        <f>TEXT(Table1[[#This Row],[DATE]],"yyyy-mm")</f>
        <v>2024-10</v>
      </c>
      <c r="F36" s="24" t="s">
        <v>186</v>
      </c>
      <c r="G36" s="28"/>
    </row>
    <row r="37" spans="1:7" x14ac:dyDescent="0.25">
      <c r="A37" s="22" t="s">
        <v>173</v>
      </c>
      <c r="B37" s="22" t="s">
        <v>171</v>
      </c>
      <c r="C37" s="21">
        <v>45569</v>
      </c>
      <c r="D37" s="26">
        <f>IF(IF(C36="", "", Table1[[#This Row],[DATE]]-C36-1) &lt; 0, 0, IF(C36="", "", Table1[[#This Row],[DATE]]-C36-1))</f>
        <v>2</v>
      </c>
      <c r="E37" s="19" t="str">
        <f>TEXT(Table1[[#This Row],[DATE]],"yyyy-mm")</f>
        <v>2024-10</v>
      </c>
      <c r="F37" s="24"/>
      <c r="G37" s="28"/>
    </row>
    <row r="38" spans="1:7" x14ac:dyDescent="0.25">
      <c r="A38" s="22" t="s">
        <v>173</v>
      </c>
      <c r="B38" s="22" t="s">
        <v>185</v>
      </c>
      <c r="C38" s="21">
        <v>45569</v>
      </c>
      <c r="D38" s="26">
        <f>IF(IF(C37="", "", Table1[[#This Row],[DATE]]-C37-1) &lt; 0, 0, IF(C37="", "", Table1[[#This Row],[DATE]]-C37-1))</f>
        <v>0</v>
      </c>
      <c r="E38" s="19" t="str">
        <f>TEXT(Table1[[#This Row],[DATE]],"yyyy-mm")</f>
        <v>2024-10</v>
      </c>
      <c r="F38" s="24" t="s">
        <v>186</v>
      </c>
      <c r="G38" s="28"/>
    </row>
    <row r="39" spans="1:7" x14ac:dyDescent="0.25">
      <c r="A39" s="22" t="s">
        <v>173</v>
      </c>
      <c r="B39" s="22" t="s">
        <v>172</v>
      </c>
      <c r="C39" s="21">
        <v>45570</v>
      </c>
      <c r="D39" s="26">
        <f>IF(IF(C38="", "", Table1[[#This Row],[DATE]]-C38-1) &lt; 0, 0, IF(C38="", "", Table1[[#This Row],[DATE]]-C38-1))</f>
        <v>0</v>
      </c>
      <c r="E39" s="19" t="str">
        <f>TEXT(Table1[[#This Row],[DATE]],"yyyy-mm")</f>
        <v>2024-10</v>
      </c>
      <c r="F39" s="24"/>
      <c r="G39" s="28"/>
    </row>
    <row r="40" spans="1:7" x14ac:dyDescent="0.25">
      <c r="A40" s="22" t="s">
        <v>173</v>
      </c>
      <c r="B40" s="22" t="s">
        <v>181</v>
      </c>
      <c r="C40" s="21">
        <v>45570</v>
      </c>
      <c r="D40" s="26">
        <f>IF(IF(C39="", "", Table1[[#This Row],[DATE]]-C39-1) &lt; 0, 0, IF(C39="", "", Table1[[#This Row],[DATE]]-C39-1))</f>
        <v>0</v>
      </c>
      <c r="E40" s="19" t="str">
        <f>TEXT(Table1[[#This Row],[DATE]],"yyyy-mm")</f>
        <v>2024-10</v>
      </c>
      <c r="F40" s="24"/>
      <c r="G40" s="28"/>
    </row>
    <row r="41" spans="1:7" x14ac:dyDescent="0.25">
      <c r="A41" s="22" t="s">
        <v>173</v>
      </c>
      <c r="B41" s="22" t="s">
        <v>185</v>
      </c>
      <c r="C41" s="21">
        <v>45570</v>
      </c>
      <c r="D41" s="26">
        <f>IF(IF(C40="", "", Table1[[#This Row],[DATE]]-C40-1) &lt; 0, 0, IF(C40="", "", Table1[[#This Row],[DATE]]-C40-1))</f>
        <v>0</v>
      </c>
      <c r="E41" s="19" t="str">
        <f>TEXT(Table1[[#This Row],[DATE]],"yyyy-mm")</f>
        <v>2024-10</v>
      </c>
      <c r="F41" s="24" t="s">
        <v>186</v>
      </c>
      <c r="G41" s="28"/>
    </row>
    <row r="42" spans="1:7" x14ac:dyDescent="0.25">
      <c r="A42" s="22" t="s">
        <v>173</v>
      </c>
      <c r="B42" s="22" t="s">
        <v>169</v>
      </c>
      <c r="C42" s="21">
        <v>45571</v>
      </c>
      <c r="D42" s="26">
        <f>IF(IF(C41="", "", Table1[[#This Row],[DATE]]-C41-1) &lt; 0, 0, IF(C41="", "", Table1[[#This Row],[DATE]]-C41-1))</f>
        <v>0</v>
      </c>
      <c r="E42" s="19" t="str">
        <f>TEXT(Table1[[#This Row],[DATE]],"yyyy-mm")</f>
        <v>2024-10</v>
      </c>
      <c r="F42" s="24"/>
      <c r="G42" s="28"/>
    </row>
    <row r="43" spans="1:7" x14ac:dyDescent="0.25">
      <c r="A43" s="22" t="s">
        <v>173</v>
      </c>
      <c r="B43" s="22" t="s">
        <v>185</v>
      </c>
      <c r="C43" s="21">
        <v>45571</v>
      </c>
      <c r="D43" s="26">
        <f>IF(IF(C42="", "", Table1[[#This Row],[DATE]]-C42-1) &lt; 0, 0, IF(C42="", "", Table1[[#This Row],[DATE]]-C42-1))</f>
        <v>0</v>
      </c>
      <c r="E43" s="19" t="str">
        <f>TEXT(Table1[[#This Row],[DATE]],"yyyy-mm")</f>
        <v>2024-10</v>
      </c>
      <c r="F43" s="24" t="s">
        <v>189</v>
      </c>
      <c r="G43" s="28"/>
    </row>
    <row r="44" spans="1:7" x14ac:dyDescent="0.25">
      <c r="A44" s="22" t="s">
        <v>173</v>
      </c>
      <c r="B44" s="22" t="s">
        <v>170</v>
      </c>
      <c r="C44" s="21">
        <v>45573</v>
      </c>
      <c r="D44" s="26">
        <f>IF(IF(C43="", "", Table1[[#This Row],[DATE]]-C43-1) &lt; 0, 0, IF(C43="", "", Table1[[#This Row],[DATE]]-C43-1))</f>
        <v>1</v>
      </c>
      <c r="E44" s="19" t="str">
        <f>TEXT(Table1[[#This Row],[DATE]],"yyyy-mm")</f>
        <v>2024-10</v>
      </c>
      <c r="F44" s="24"/>
      <c r="G44" s="28"/>
    </row>
    <row r="45" spans="1:7" x14ac:dyDescent="0.25">
      <c r="A45" s="22" t="s">
        <v>173</v>
      </c>
      <c r="B45" s="22" t="s">
        <v>185</v>
      </c>
      <c r="C45" s="21">
        <v>45573</v>
      </c>
      <c r="D45" s="26">
        <f>IF(IF(C44="", "", Table1[[#This Row],[DATE]]-C44-1) &lt; 0, 0, IF(C44="", "", Table1[[#This Row],[DATE]]-C44-1))</f>
        <v>0</v>
      </c>
      <c r="E45" s="19" t="str">
        <f>TEXT(Table1[[#This Row],[DATE]],"yyyy-mm")</f>
        <v>2024-10</v>
      </c>
      <c r="F45" s="24" t="s">
        <v>197</v>
      </c>
      <c r="G45" s="28"/>
    </row>
    <row r="46" spans="1:7" x14ac:dyDescent="0.25">
      <c r="A46" s="22" t="s">
        <v>173</v>
      </c>
      <c r="B46" s="22" t="s">
        <v>171</v>
      </c>
      <c r="C46" s="21">
        <v>45574</v>
      </c>
      <c r="D46" s="26">
        <f>IF(IF(C45="", "", Table1[[#This Row],[DATE]]-C45-1) &lt; 0, 0, IF(C45="", "", Table1[[#This Row],[DATE]]-C45-1))</f>
        <v>0</v>
      </c>
      <c r="E46" s="19" t="str">
        <f>TEXT(Table1[[#This Row],[DATE]],"yyyy-mm")</f>
        <v>2024-10</v>
      </c>
      <c r="F46" s="24"/>
      <c r="G46" s="28"/>
    </row>
    <row r="47" spans="1:7" x14ac:dyDescent="0.25">
      <c r="A47" s="22" t="s">
        <v>173</v>
      </c>
      <c r="B47" s="22" t="s">
        <v>185</v>
      </c>
      <c r="C47" s="21">
        <v>45574</v>
      </c>
      <c r="D47" s="26">
        <f>IF(IF(C46="", "", Table1[[#This Row],[DATE]]-C46-1) &lt; 0, 0, IF(C46="", "", Table1[[#This Row],[DATE]]-C46-1))</f>
        <v>0</v>
      </c>
      <c r="E47" s="19" t="str">
        <f>TEXT(Table1[[#This Row],[DATE]],"yyyy-mm")</f>
        <v>2024-10</v>
      </c>
      <c r="F47" s="24" t="s">
        <v>197</v>
      </c>
      <c r="G47" s="28"/>
    </row>
    <row r="48" spans="1:7" x14ac:dyDescent="0.25">
      <c r="A48" s="22" t="s">
        <v>173</v>
      </c>
      <c r="B48" s="22" t="s">
        <v>172</v>
      </c>
      <c r="C48" s="21">
        <v>45575</v>
      </c>
      <c r="D48" s="26">
        <f>IF(IF(C47="", "", Table1[[#This Row],[DATE]]-C47-1) &lt; 0, 0, IF(C47="", "", Table1[[#This Row],[DATE]]-C47-1))</f>
        <v>0</v>
      </c>
      <c r="E48" s="19" t="str">
        <f>TEXT(Table1[[#This Row],[DATE]],"yyyy-mm")</f>
        <v>2024-10</v>
      </c>
      <c r="F48" s="24"/>
      <c r="G48" s="28"/>
    </row>
    <row r="49" spans="1:7" x14ac:dyDescent="0.25">
      <c r="A49" s="22" t="s">
        <v>173</v>
      </c>
      <c r="B49" s="22" t="s">
        <v>181</v>
      </c>
      <c r="C49" s="21">
        <v>45575</v>
      </c>
      <c r="D49" s="26">
        <f>IF(IF(C48="", "", Table1[[#This Row],[DATE]]-C48-1) &lt; 0, 0, IF(C48="", "", Table1[[#This Row],[DATE]]-C48-1))</f>
        <v>0</v>
      </c>
      <c r="E49" s="19" t="str">
        <f>TEXT(Table1[[#This Row],[DATE]],"yyyy-mm")</f>
        <v>2024-10</v>
      </c>
      <c r="F49" s="24"/>
      <c r="G49" s="28"/>
    </row>
    <row r="50" spans="1:7" x14ac:dyDescent="0.25">
      <c r="A50" s="22" t="s">
        <v>173</v>
      </c>
      <c r="B50" s="22" t="s">
        <v>185</v>
      </c>
      <c r="C50" s="21">
        <v>45575</v>
      </c>
      <c r="D50" s="26">
        <f>IF(IF(C49="", "", Table1[[#This Row],[DATE]]-C49-1) &lt; 0, 0, IF(C49="", "", Table1[[#This Row],[DATE]]-C49-1))</f>
        <v>0</v>
      </c>
      <c r="E50" s="19" t="str">
        <f>TEXT(Table1[[#This Row],[DATE]],"yyyy-mm")</f>
        <v>2024-10</v>
      </c>
      <c r="F50" s="24" t="s">
        <v>197</v>
      </c>
      <c r="G50" s="28"/>
    </row>
    <row r="51" spans="1:7" x14ac:dyDescent="0.25">
      <c r="A51" s="22" t="s">
        <v>173</v>
      </c>
      <c r="B51" s="22" t="s">
        <v>169</v>
      </c>
      <c r="C51" s="21">
        <v>45577</v>
      </c>
      <c r="D51" s="26">
        <f>IF(IF(C50="", "", Table1[[#This Row],[DATE]]-C50-1) &lt; 0, 0, IF(C50="", "", Table1[[#This Row],[DATE]]-C50-1))</f>
        <v>1</v>
      </c>
      <c r="E51" s="19" t="str">
        <f>TEXT(Table1[[#This Row],[DATE]],"yyyy-mm")</f>
        <v>2024-10</v>
      </c>
      <c r="F51" s="24"/>
      <c r="G51" s="28"/>
    </row>
    <row r="52" spans="1:7" x14ac:dyDescent="0.25">
      <c r="A52" s="22" t="s">
        <v>173</v>
      </c>
      <c r="B52" s="22" t="s">
        <v>185</v>
      </c>
      <c r="C52" s="21">
        <v>45577</v>
      </c>
      <c r="D52" s="26">
        <f>IF(IF(C51="", "", Table1[[#This Row],[DATE]]-C51-1) &lt; 0, 0, IF(C51="", "", Table1[[#This Row],[DATE]]-C51-1))</f>
        <v>0</v>
      </c>
      <c r="E52" s="19" t="str">
        <f>TEXT(Table1[[#This Row],[DATE]],"yyyy-mm")</f>
        <v>2024-10</v>
      </c>
      <c r="F52" s="24" t="s">
        <v>197</v>
      </c>
      <c r="G52" s="28"/>
    </row>
    <row r="53" spans="1:7" x14ac:dyDescent="0.25">
      <c r="A53" s="22" t="s">
        <v>173</v>
      </c>
      <c r="B53" s="22" t="s">
        <v>170</v>
      </c>
      <c r="C53" s="21">
        <v>45578</v>
      </c>
      <c r="D53" s="26">
        <f>IF(IF(C52="", "", Table1[[#This Row],[DATE]]-C52-1) &lt; 0, 0, IF(C52="", "", Table1[[#This Row],[DATE]]-C52-1))</f>
        <v>0</v>
      </c>
      <c r="E53" s="19" t="str">
        <f>TEXT(Table1[[#This Row],[DATE]],"yyyy-mm")</f>
        <v>2024-10</v>
      </c>
      <c r="F53" s="24"/>
      <c r="G53" s="28"/>
    </row>
    <row r="54" spans="1:7" x14ac:dyDescent="0.25">
      <c r="A54" s="22" t="s">
        <v>173</v>
      </c>
      <c r="B54" s="22" t="s">
        <v>185</v>
      </c>
      <c r="C54" s="21">
        <v>45578</v>
      </c>
      <c r="D54" s="26">
        <f>IF(IF(C53="", "", Table1[[#This Row],[DATE]]-C53-1) &lt; 0, 0, IF(C53="", "", Table1[[#This Row],[DATE]]-C53-1))</f>
        <v>0</v>
      </c>
      <c r="E54" s="19" t="str">
        <f>TEXT(Table1[[#This Row],[DATE]],"yyyy-mm")</f>
        <v>2024-10</v>
      </c>
      <c r="F54" s="24" t="s">
        <v>197</v>
      </c>
      <c r="G54" s="28"/>
    </row>
    <row r="55" spans="1:7" x14ac:dyDescent="0.25">
      <c r="A55" s="22" t="s">
        <v>173</v>
      </c>
      <c r="B55" s="22" t="s">
        <v>171</v>
      </c>
      <c r="C55" s="21">
        <v>45580</v>
      </c>
      <c r="D55" s="26">
        <f>IF(IF(C54="", "", Table1[[#This Row],[DATE]]-C54-1) &lt; 0, 0, IF(C54="", "", Table1[[#This Row],[DATE]]-C54-1))</f>
        <v>1</v>
      </c>
      <c r="E55" s="19" t="str">
        <f>TEXT(Table1[[#This Row],[DATE]],"yyyy-mm")</f>
        <v>2024-10</v>
      </c>
      <c r="F55" s="24" t="s">
        <v>198</v>
      </c>
      <c r="G55" s="28"/>
    </row>
    <row r="56" spans="1:7" x14ac:dyDescent="0.25">
      <c r="A56" s="22" t="s">
        <v>173</v>
      </c>
      <c r="B56" s="22" t="s">
        <v>185</v>
      </c>
      <c r="C56" s="21">
        <v>45580</v>
      </c>
      <c r="D56" s="26">
        <f>IF(IF(C55="", "", Table1[[#This Row],[DATE]]-C55-1) &lt; 0, 0, IF(C55="", "", Table1[[#This Row],[DATE]]-C55-1))</f>
        <v>0</v>
      </c>
      <c r="E56" s="19" t="str">
        <f>TEXT(Table1[[#This Row],[DATE]],"yyyy-mm")</f>
        <v>2024-10</v>
      </c>
      <c r="F56" s="24" t="s">
        <v>197</v>
      </c>
      <c r="G56" s="28"/>
    </row>
    <row r="57" spans="1:7" x14ac:dyDescent="0.25">
      <c r="A57" s="22" t="s">
        <v>173</v>
      </c>
      <c r="B57" s="22" t="s">
        <v>172</v>
      </c>
      <c r="C57" s="21">
        <v>45581</v>
      </c>
      <c r="D57" s="26">
        <f>IF(IF(C56="", "", Table1[[#This Row],[DATE]]-C56-1) &lt; 0, 0, IF(C56="", "", Table1[[#This Row],[DATE]]-C56-1))</f>
        <v>0</v>
      </c>
      <c r="E57" s="19" t="str">
        <f>TEXT(Table1[[#This Row],[DATE]],"yyyy-mm")</f>
        <v>2024-10</v>
      </c>
      <c r="F57" s="24"/>
      <c r="G57" s="28"/>
    </row>
    <row r="58" spans="1:7" x14ac:dyDescent="0.25">
      <c r="A58" s="22" t="s">
        <v>173</v>
      </c>
      <c r="B58" s="22" t="s">
        <v>185</v>
      </c>
      <c r="C58" s="21">
        <v>45581</v>
      </c>
      <c r="D58" s="26">
        <f>IF(IF(C57="", "", Table1[[#This Row],[DATE]]-C57-1) &lt; 0, 0, IF(C57="", "", Table1[[#This Row],[DATE]]-C57-1))</f>
        <v>0</v>
      </c>
      <c r="E58" s="19" t="str">
        <f>TEXT(Table1[[#This Row],[DATE]],"yyyy-mm")</f>
        <v>2024-10</v>
      </c>
      <c r="F58" s="24" t="s">
        <v>197</v>
      </c>
      <c r="G58" s="28"/>
    </row>
    <row r="59" spans="1:7" x14ac:dyDescent="0.25">
      <c r="A59" s="22" t="s">
        <v>173</v>
      </c>
      <c r="B59" s="22" t="s">
        <v>169</v>
      </c>
      <c r="C59" s="21">
        <v>45582</v>
      </c>
      <c r="D59" s="26">
        <f>IF(IF(C58="", "", Table1[[#This Row],[DATE]]-C58-1) &lt; 0, 0, IF(C58="", "", Table1[[#This Row],[DATE]]-C58-1))</f>
        <v>0</v>
      </c>
      <c r="E59" s="19" t="str">
        <f>TEXT(Table1[[#This Row],[DATE]],"yyyy-mm")</f>
        <v>2024-10</v>
      </c>
      <c r="F59" s="24"/>
      <c r="G59" s="28">
        <v>78.8</v>
      </c>
    </row>
    <row r="60" spans="1:7" x14ac:dyDescent="0.25">
      <c r="A60" s="22" t="s">
        <v>173</v>
      </c>
      <c r="B60" s="22" t="s">
        <v>181</v>
      </c>
      <c r="C60" s="21">
        <v>45582</v>
      </c>
      <c r="D60" s="26">
        <f>IF(IF(C59="", "", Table1[[#This Row],[DATE]]-C59-1) &lt; 0, 0, IF(C59="", "", Table1[[#This Row],[DATE]]-C59-1))</f>
        <v>0</v>
      </c>
      <c r="E60" s="19" t="str">
        <f>TEXT(Table1[[#This Row],[DATE]],"yyyy-mm")</f>
        <v>2024-10</v>
      </c>
      <c r="F60" s="24"/>
      <c r="G60" s="28"/>
    </row>
    <row r="61" spans="1:7" x14ac:dyDescent="0.25">
      <c r="A61" s="22" t="s">
        <v>173</v>
      </c>
      <c r="B61" s="22" t="s">
        <v>185</v>
      </c>
      <c r="C61" s="21">
        <v>45582</v>
      </c>
      <c r="D61" s="26">
        <f>IF(IF(C60="", "", Table1[[#This Row],[DATE]]-C60-1) &lt; 0, 0, IF(C60="", "", Table1[[#This Row],[DATE]]-C60-1))</f>
        <v>0</v>
      </c>
      <c r="E61" s="19" t="str">
        <f>TEXT(Table1[[#This Row],[DATE]],"yyyy-mm")</f>
        <v>2024-10</v>
      </c>
      <c r="F61" s="24" t="s">
        <v>197</v>
      </c>
      <c r="G61" s="28"/>
    </row>
    <row r="62" spans="1:7" x14ac:dyDescent="0.25">
      <c r="A62" s="22" t="s">
        <v>173</v>
      </c>
      <c r="B62" s="22" t="s">
        <v>170</v>
      </c>
      <c r="C62" s="21">
        <v>45583</v>
      </c>
      <c r="D62" s="26">
        <f>IF(IF(C61="", "", Table1[[#This Row],[DATE]]-C61-1) &lt; 0, 0, IF(C61="", "", Table1[[#This Row],[DATE]]-C61-1))</f>
        <v>0</v>
      </c>
      <c r="E62" s="19" t="str">
        <f>TEXT(Table1[[#This Row],[DATE]],"yyyy-mm")</f>
        <v>2024-10</v>
      </c>
      <c r="F62" s="24"/>
      <c r="G62" s="28"/>
    </row>
    <row r="63" spans="1:7" x14ac:dyDescent="0.25">
      <c r="A63" s="22" t="s">
        <v>173</v>
      </c>
      <c r="B63" s="22" t="s">
        <v>171</v>
      </c>
      <c r="C63" s="21">
        <v>45585</v>
      </c>
      <c r="D63" s="26">
        <f>IF(IF(C62="", "", Table1[[#This Row],[DATE]]-C62-1) &lt; 0, 0, IF(C62="", "", Table1[[#This Row],[DATE]]-C62-1))</f>
        <v>1</v>
      </c>
      <c r="E63" s="19" t="str">
        <f>TEXT(Table1[[#This Row],[DATE]],"yyyy-mm")</f>
        <v>2024-10</v>
      </c>
      <c r="F63" s="24"/>
      <c r="G63" s="28"/>
    </row>
    <row r="64" spans="1:7" x14ac:dyDescent="0.25">
      <c r="A64" s="22" t="s">
        <v>173</v>
      </c>
      <c r="B64" s="22" t="s">
        <v>185</v>
      </c>
      <c r="C64" s="21">
        <v>45585</v>
      </c>
      <c r="D64" s="26">
        <f>IF(IF(C63="", "", Table1[[#This Row],[DATE]]-C63-1) &lt; 0, 0, IF(C63="", "", Table1[[#This Row],[DATE]]-C63-1))</f>
        <v>0</v>
      </c>
      <c r="E64" s="19" t="str">
        <f>TEXT(Table1[[#This Row],[DATE]],"yyyy-mm")</f>
        <v>2024-10</v>
      </c>
      <c r="F64" s="24"/>
      <c r="G64" s="28"/>
    </row>
    <row r="65" spans="1:7" x14ac:dyDescent="0.25">
      <c r="A65" s="22" t="s">
        <v>173</v>
      </c>
      <c r="B65" s="22" t="s">
        <v>172</v>
      </c>
      <c r="C65" s="21">
        <v>45586</v>
      </c>
      <c r="D65" s="26">
        <f>IF(IF(C64="", "", Table1[[#This Row],[DATE]]-C64-1) &lt; 0, 0, IF(C64="", "", Table1[[#This Row],[DATE]]-C64-1))</f>
        <v>0</v>
      </c>
      <c r="E65" s="19" t="str">
        <f>TEXT(Table1[[#This Row],[DATE]],"yyyy-mm")</f>
        <v>2024-10</v>
      </c>
      <c r="F65" s="24" t="s">
        <v>202</v>
      </c>
      <c r="G65" s="28"/>
    </row>
    <row r="66" spans="1:7" x14ac:dyDescent="0.25">
      <c r="A66" s="22" t="s">
        <v>173</v>
      </c>
      <c r="B66" s="22" t="s">
        <v>185</v>
      </c>
      <c r="C66" s="21">
        <v>45586</v>
      </c>
      <c r="D66" s="26">
        <f>IF(IF(C65="", "", Table1[[#This Row],[DATE]]-C65-1) &lt; 0, 0, IF(C65="", "", Table1[[#This Row],[DATE]]-C65-1))</f>
        <v>0</v>
      </c>
      <c r="E66" s="19" t="str">
        <f>TEXT(Table1[[#This Row],[DATE]],"yyyy-mm")</f>
        <v>2024-10</v>
      </c>
      <c r="F66" s="24" t="s">
        <v>197</v>
      </c>
      <c r="G66" s="28"/>
    </row>
    <row r="67" spans="1:7" x14ac:dyDescent="0.25">
      <c r="A67" s="22" t="s">
        <v>173</v>
      </c>
      <c r="B67" s="22" t="s">
        <v>169</v>
      </c>
      <c r="C67" s="21">
        <v>45587</v>
      </c>
      <c r="D67" s="26">
        <f>IF(IF(C66="", "", Table1[[#This Row],[DATE]]-C66-1) &lt; 0, 0, IF(C66="", "", Table1[[#This Row],[DATE]]-C66-1))</f>
        <v>0</v>
      </c>
      <c r="E67" s="19" t="str">
        <f>TEXT(Table1[[#This Row],[DATE]],"yyyy-mm")</f>
        <v>2024-10</v>
      </c>
      <c r="F67" s="24"/>
      <c r="G67" s="28"/>
    </row>
    <row r="68" spans="1:7" x14ac:dyDescent="0.25">
      <c r="A68" s="22" t="s">
        <v>173</v>
      </c>
      <c r="B68" s="22" t="s">
        <v>185</v>
      </c>
      <c r="C68" s="21">
        <v>45587</v>
      </c>
      <c r="D68" s="26">
        <f>IF(IF(C67="", "", Table1[[#This Row],[DATE]]-C67-1) &lt; 0, 0, IF(C67="", "", Table1[[#This Row],[DATE]]-C67-1))</f>
        <v>0</v>
      </c>
      <c r="E68" s="19" t="str">
        <f>TEXT(Table1[[#This Row],[DATE]],"yyyy-mm")</f>
        <v>2024-10</v>
      </c>
      <c r="F68" s="24" t="s">
        <v>197</v>
      </c>
      <c r="G68" s="28"/>
    </row>
    <row r="69" spans="1:7" x14ac:dyDescent="0.25">
      <c r="A69" s="22" t="s">
        <v>173</v>
      </c>
      <c r="B69" s="22" t="s">
        <v>170</v>
      </c>
      <c r="C69" s="21">
        <v>45588</v>
      </c>
      <c r="D69" s="26">
        <f>IF(IF(C68="", "", Table1[[#This Row],[DATE]]-C68-1) &lt; 0, 0, IF(C68="", "", Table1[[#This Row],[DATE]]-C68-1))</f>
        <v>0</v>
      </c>
      <c r="E69" s="19" t="str">
        <f>TEXT(Table1[[#This Row],[DATE]],"yyyy-mm")</f>
        <v>2024-10</v>
      </c>
      <c r="F69" s="24" t="s">
        <v>202</v>
      </c>
      <c r="G69" s="28"/>
    </row>
    <row r="70" spans="1:7" x14ac:dyDescent="0.25">
      <c r="A70" s="22" t="s">
        <v>173</v>
      </c>
      <c r="B70" s="22" t="s">
        <v>185</v>
      </c>
      <c r="C70" s="21">
        <v>45588</v>
      </c>
      <c r="D70" s="26">
        <f>IF(IF(C69="", "", Table1[[#This Row],[DATE]]-C69-1) &lt; 0, 0, IF(C69="", "", Table1[[#This Row],[DATE]]-C69-1))</f>
        <v>0</v>
      </c>
      <c r="E70" s="19" t="str">
        <f>TEXT(Table1[[#This Row],[DATE]],"yyyy-mm")</f>
        <v>2024-10</v>
      </c>
      <c r="F70" s="24" t="s">
        <v>203</v>
      </c>
      <c r="G70" s="28"/>
    </row>
    <row r="71" spans="1:7" x14ac:dyDescent="0.25">
      <c r="A71" s="22" t="s">
        <v>173</v>
      </c>
      <c r="B71" s="22" t="s">
        <v>171</v>
      </c>
      <c r="C71" s="21">
        <v>45589</v>
      </c>
      <c r="D71" s="26">
        <f>IF(IF(C70="", "", Table1[[#This Row],[DATE]]-C70-1) &lt; 0, 0, IF(C70="", "", Table1[[#This Row],[DATE]]-C70-1))</f>
        <v>0</v>
      </c>
      <c r="E71" s="19" t="str">
        <f>TEXT(Table1[[#This Row],[DATE]],"yyyy-mm")</f>
        <v>2024-10</v>
      </c>
      <c r="F71" s="24"/>
      <c r="G71" s="28"/>
    </row>
    <row r="72" spans="1:7" x14ac:dyDescent="0.25">
      <c r="A72" s="22" t="s">
        <v>173</v>
      </c>
      <c r="B72" s="22" t="s">
        <v>185</v>
      </c>
      <c r="C72" s="21">
        <v>45589</v>
      </c>
      <c r="D72" s="26">
        <f>IF(IF(C71="", "", Table1[[#This Row],[DATE]]-C71-1) &lt; 0, 0, IF(C71="", "", Table1[[#This Row],[DATE]]-C71-1))</f>
        <v>0</v>
      </c>
      <c r="E72" s="19" t="str">
        <f>TEXT(Table1[[#This Row],[DATE]],"yyyy-mm")</f>
        <v>2024-10</v>
      </c>
      <c r="F72" s="24" t="s">
        <v>203</v>
      </c>
      <c r="G72" s="28"/>
    </row>
    <row r="73" spans="1:7" x14ac:dyDescent="0.25">
      <c r="A73" s="22" t="s">
        <v>173</v>
      </c>
      <c r="B73" s="22" t="s">
        <v>185</v>
      </c>
      <c r="C73" s="21">
        <v>45590</v>
      </c>
      <c r="D73" s="26">
        <f>IF(IF(C72="", "", Table1[[#This Row],[DATE]]-C72-1) &lt; 0, 0, IF(C72="", "", Table1[[#This Row],[DATE]]-C72-1))</f>
        <v>0</v>
      </c>
      <c r="E73" s="19" t="str">
        <f>TEXT(Table1[[#This Row],[DATE]],"yyyy-mm")</f>
        <v>2024-10</v>
      </c>
      <c r="F73" s="24" t="s">
        <v>204</v>
      </c>
      <c r="G73" s="28"/>
    </row>
    <row r="74" spans="1:7" x14ac:dyDescent="0.25">
      <c r="A74" s="22" t="s">
        <v>173</v>
      </c>
      <c r="B74" s="22" t="s">
        <v>172</v>
      </c>
      <c r="C74" s="21">
        <v>45592</v>
      </c>
      <c r="D74" s="26">
        <f>IF(IF(C73="", "", Table1[[#This Row],[DATE]]-C73-1) &lt; 0, 0, IF(C73="", "", Table1[[#This Row],[DATE]]-C73-1))</f>
        <v>1</v>
      </c>
      <c r="E74" s="19" t="str">
        <f>TEXT(Table1[[#This Row],[DATE]],"yyyy-mm")</f>
        <v>2024-10</v>
      </c>
      <c r="F74" s="24"/>
      <c r="G74" s="28"/>
    </row>
    <row r="75" spans="1:7" x14ac:dyDescent="0.25">
      <c r="A75" s="22" t="s">
        <v>173</v>
      </c>
      <c r="B75" s="22" t="s">
        <v>185</v>
      </c>
      <c r="C75" s="21">
        <v>45592</v>
      </c>
      <c r="D75" s="26">
        <f>IF(IF(C74="", "", Table1[[#This Row],[DATE]]-C74-1) &lt; 0, 0, IF(C74="", "", Table1[[#This Row],[DATE]]-C74-1))</f>
        <v>0</v>
      </c>
      <c r="E75" s="19" t="str">
        <f>TEXT(Table1[[#This Row],[DATE]],"yyyy-mm")</f>
        <v>2024-10</v>
      </c>
      <c r="F75" s="24" t="s">
        <v>205</v>
      </c>
      <c r="G75" s="28">
        <v>78</v>
      </c>
    </row>
    <row r="76" spans="1:7" x14ac:dyDescent="0.25">
      <c r="A76" s="22" t="s">
        <v>173</v>
      </c>
      <c r="B76" s="22" t="s">
        <v>169</v>
      </c>
      <c r="C76" s="21">
        <v>45594</v>
      </c>
      <c r="D76" s="26">
        <f>IF(IF(C75="", "", Table1[[#This Row],[DATE]]-C75-1) &lt; 0, 0, IF(C75="", "", Table1[[#This Row],[DATE]]-C75-1))</f>
        <v>1</v>
      </c>
      <c r="E76" s="19" t="str">
        <f>TEXT(Table1[[#This Row],[DATE]],"yyyy-mm")</f>
        <v>2024-10</v>
      </c>
      <c r="F76" s="24"/>
      <c r="G76" s="28"/>
    </row>
    <row r="77" spans="1:7" x14ac:dyDescent="0.25">
      <c r="A77" s="22" t="s">
        <v>173</v>
      </c>
      <c r="B77" s="22" t="s">
        <v>185</v>
      </c>
      <c r="C77" s="21">
        <v>45594</v>
      </c>
      <c r="D77" s="26">
        <f>IF(IF(C76="", "", Table1[[#This Row],[DATE]]-C76-1) &lt; 0, 0, IF(C76="", "", Table1[[#This Row],[DATE]]-C76-1))</f>
        <v>0</v>
      </c>
      <c r="E77" s="19" t="str">
        <f>TEXT(Table1[[#This Row],[DATE]],"yyyy-mm")</f>
        <v>2024-10</v>
      </c>
      <c r="F77" s="24"/>
      <c r="G77" s="28"/>
    </row>
    <row r="78" spans="1:7" x14ac:dyDescent="0.25">
      <c r="A78" s="22" t="s">
        <v>173</v>
      </c>
      <c r="B78" s="22" t="s">
        <v>181</v>
      </c>
      <c r="C78" s="21">
        <v>45594</v>
      </c>
      <c r="D78" s="26">
        <f>IF(IF(C77="", "", Table1[[#This Row],[DATE]]-C77-1) &lt; 0, 0, IF(C77="", "", Table1[[#This Row],[DATE]]-C77-1))</f>
        <v>0</v>
      </c>
      <c r="E78" s="19" t="str">
        <f>TEXT(Table1[[#This Row],[DATE]],"yyyy-mm")</f>
        <v>2024-10</v>
      </c>
      <c r="F78" s="24"/>
      <c r="G78" s="28"/>
    </row>
    <row r="79" spans="1:7" x14ac:dyDescent="0.25">
      <c r="A79" s="22" t="s">
        <v>173</v>
      </c>
      <c r="B79" s="22" t="s">
        <v>170</v>
      </c>
      <c r="C79" s="21">
        <v>45595</v>
      </c>
      <c r="D79" s="26">
        <f>IF(IF(C78="", "", Table1[[#This Row],[DATE]]-C78-1) &lt; 0, 0, IF(C78="", "", Table1[[#This Row],[DATE]]-C78-1))</f>
        <v>0</v>
      </c>
      <c r="E79" s="19" t="str">
        <f>TEXT(Table1[[#This Row],[DATE]],"yyyy-mm")</f>
        <v>2024-10</v>
      </c>
      <c r="F79" s="24"/>
      <c r="G79" s="28"/>
    </row>
    <row r="80" spans="1:7" x14ac:dyDescent="0.25">
      <c r="A80" s="22" t="s">
        <v>173</v>
      </c>
      <c r="B80" s="22" t="s">
        <v>185</v>
      </c>
      <c r="C80" s="21">
        <v>45595</v>
      </c>
      <c r="D80" s="26">
        <f>IF(IF(C79="", "", Table1[[#This Row],[DATE]]-C79-1) &lt; 0, 0, IF(C79="", "", Table1[[#This Row],[DATE]]-C79-1))</f>
        <v>0</v>
      </c>
      <c r="E80" s="19" t="str">
        <f>TEXT(Table1[[#This Row],[DATE]],"yyyy-mm")</f>
        <v>2024-10</v>
      </c>
      <c r="F80" s="24"/>
      <c r="G80" s="28"/>
    </row>
    <row r="81" spans="1:7" x14ac:dyDescent="0.25">
      <c r="A81" s="22" t="s">
        <v>173</v>
      </c>
      <c r="B81" s="22" t="s">
        <v>171</v>
      </c>
      <c r="C81" s="21">
        <v>45596</v>
      </c>
      <c r="D81" s="26">
        <f>IF(IF(C80="", "", Table1[[#This Row],[DATE]]-C80-1) &lt; 0, 0, IF(C80="", "", Table1[[#This Row],[DATE]]-C80-1))</f>
        <v>0</v>
      </c>
      <c r="E81" s="19" t="str">
        <f>TEXT(Table1[[#This Row],[DATE]],"yyyy-mm")</f>
        <v>2024-10</v>
      </c>
      <c r="F81" s="24"/>
      <c r="G81" s="28"/>
    </row>
    <row r="82" spans="1:7" x14ac:dyDescent="0.25">
      <c r="A82" s="22" t="s">
        <v>173</v>
      </c>
      <c r="B82" s="22" t="s">
        <v>172</v>
      </c>
      <c r="C82" s="21">
        <v>45598</v>
      </c>
      <c r="D82" s="26">
        <f>IF(IF(C81="", "", Table1[[#This Row],[DATE]]-C81-1) &lt; 0, 0, IF(C81="", "", Table1[[#This Row],[DATE]]-C81-1))</f>
        <v>1</v>
      </c>
      <c r="E82" s="19" t="str">
        <f>TEXT(Table1[[#This Row],[DATE]],"yyyy-mm")</f>
        <v>2024-11</v>
      </c>
      <c r="F82" s="24"/>
      <c r="G82" s="28"/>
    </row>
    <row r="83" spans="1:7" x14ac:dyDescent="0.25">
      <c r="A83" s="22" t="s">
        <v>173</v>
      </c>
      <c r="B83" s="22" t="s">
        <v>185</v>
      </c>
      <c r="C83" s="21">
        <v>45599</v>
      </c>
      <c r="D83" s="26">
        <f>IF(IF(C82="", "", Table1[[#This Row],[DATE]]-C82-1) &lt; 0, 0, IF(C82="", "", Table1[[#This Row],[DATE]]-C82-1))</f>
        <v>0</v>
      </c>
      <c r="E83" s="19" t="str">
        <f>TEXT(Table1[[#This Row],[DATE]],"yyyy-mm")</f>
        <v>2024-11</v>
      </c>
      <c r="F83" s="24" t="s">
        <v>205</v>
      </c>
      <c r="G83" s="28"/>
    </row>
    <row r="84" spans="1:7" x14ac:dyDescent="0.25">
      <c r="A84" s="22" t="s">
        <v>173</v>
      </c>
      <c r="B84" s="22" t="s">
        <v>169</v>
      </c>
      <c r="C84" s="21">
        <v>45599</v>
      </c>
      <c r="D84" s="26">
        <f>IF(IF(C83="", "", Table1[[#This Row],[DATE]]-C83-1) &lt; 0, 0, IF(C83="", "", Table1[[#This Row],[DATE]]-C83-1))</f>
        <v>0</v>
      </c>
      <c r="E84" s="19" t="str">
        <f>TEXT(Table1[[#This Row],[DATE]],"yyyy-mm")</f>
        <v>2024-11</v>
      </c>
      <c r="F84" s="24"/>
      <c r="G84" s="28"/>
    </row>
    <row r="85" spans="1:7" x14ac:dyDescent="0.25">
      <c r="A85" s="22" t="s">
        <v>173</v>
      </c>
      <c r="B85" s="22" t="s">
        <v>185</v>
      </c>
      <c r="C85" s="21">
        <v>45599</v>
      </c>
      <c r="D85" s="26">
        <f>IF(IF(C84="", "", Table1[[#This Row],[DATE]]-C84-1) &lt; 0, 0, IF(C84="", "", Table1[[#This Row],[DATE]]-C84-1))</f>
        <v>0</v>
      </c>
      <c r="E85" s="19" t="str">
        <f>TEXT(Table1[[#This Row],[DATE]],"yyyy-mm")</f>
        <v>2024-11</v>
      </c>
      <c r="F85" s="24"/>
      <c r="G85" s="28"/>
    </row>
    <row r="86" spans="1:7" x14ac:dyDescent="0.25">
      <c r="A86" s="22" t="s">
        <v>173</v>
      </c>
      <c r="B86" s="22" t="s">
        <v>170</v>
      </c>
      <c r="C86" s="21">
        <v>45600</v>
      </c>
      <c r="D86" s="26">
        <f>IF(IF(C85="", "", Table1[[#This Row],[DATE]]-C85-1) &lt; 0, 0, IF(C85="", "", Table1[[#This Row],[DATE]]-C85-1))</f>
        <v>0</v>
      </c>
      <c r="E86" s="19" t="str">
        <f>TEXT(Table1[[#This Row],[DATE]],"yyyy-mm")</f>
        <v>2024-11</v>
      </c>
      <c r="F86" s="24"/>
      <c r="G86" s="28"/>
    </row>
    <row r="87" spans="1:7" x14ac:dyDescent="0.25">
      <c r="A87" s="22" t="s">
        <v>173</v>
      </c>
      <c r="B87" s="22" t="s">
        <v>185</v>
      </c>
      <c r="C87" s="21">
        <v>45600</v>
      </c>
      <c r="D87" s="26">
        <f>IF(IF(C86="", "", Table1[[#This Row],[DATE]]-C86-1) &lt; 0, 0, IF(C86="", "", Table1[[#This Row],[DATE]]-C86-1))</f>
        <v>0</v>
      </c>
      <c r="E87" s="19" t="str">
        <f>TEXT(Table1[[#This Row],[DATE]],"yyyy-mm")</f>
        <v>2024-11</v>
      </c>
      <c r="F87" s="24"/>
      <c r="G87" s="28"/>
    </row>
    <row r="88" spans="1:7" x14ac:dyDescent="0.25">
      <c r="A88" s="22" t="s">
        <v>173</v>
      </c>
      <c r="B88" s="22" t="s">
        <v>171</v>
      </c>
      <c r="C88" s="21">
        <v>45601</v>
      </c>
      <c r="D88" s="26">
        <f>IF(IF(C87="", "", Table1[[#This Row],[DATE]]-C87-1) &lt; 0, 0, IF(C87="", "", Table1[[#This Row],[DATE]]-C87-1))</f>
        <v>0</v>
      </c>
      <c r="E88" s="19" t="str">
        <f>TEXT(Table1[[#This Row],[DATE]],"yyyy-mm")</f>
        <v>2024-11</v>
      </c>
      <c r="F88" s="24"/>
      <c r="G88" s="28"/>
    </row>
    <row r="89" spans="1:7" x14ac:dyDescent="0.25">
      <c r="A89" s="22" t="s">
        <v>173</v>
      </c>
      <c r="B89" s="22" t="s">
        <v>185</v>
      </c>
      <c r="C89" s="21">
        <v>45601</v>
      </c>
      <c r="D89" s="26">
        <f>IF(IF(C88="", "", Table1[[#This Row],[DATE]]-C88-1) &lt; 0, 0, IF(C88="", "", Table1[[#This Row],[DATE]]-C88-1))</f>
        <v>0</v>
      </c>
      <c r="E89" s="19" t="str">
        <f>TEXT(Table1[[#This Row],[DATE]],"yyyy-mm")</f>
        <v>2024-11</v>
      </c>
      <c r="F89" s="24" t="s">
        <v>205</v>
      </c>
      <c r="G89" s="28"/>
    </row>
    <row r="90" spans="1:7" x14ac:dyDescent="0.25">
      <c r="A90" s="22" t="s">
        <v>173</v>
      </c>
      <c r="B90" s="22" t="s">
        <v>172</v>
      </c>
      <c r="C90" s="21">
        <v>45603</v>
      </c>
      <c r="D90" s="26">
        <f>IF(IF(C89="", "", Table1[[#This Row],[DATE]]-C89-1) &lt; 0, 0, IF(C89="", "", Table1[[#This Row],[DATE]]-C89-1))</f>
        <v>1</v>
      </c>
      <c r="E90" s="19" t="str">
        <f>TEXT(Table1[[#This Row],[DATE]],"yyyy-mm")</f>
        <v>2024-11</v>
      </c>
      <c r="F90" s="24"/>
      <c r="G90" s="28"/>
    </row>
    <row r="91" spans="1:7" x14ac:dyDescent="0.25">
      <c r="A91" s="22" t="s">
        <v>173</v>
      </c>
      <c r="B91" s="22" t="s">
        <v>185</v>
      </c>
      <c r="C91" s="21">
        <v>45603</v>
      </c>
      <c r="D91" s="26">
        <f>IF(IF(C90="", "", Table1[[#This Row],[DATE]]-C90-1) &lt; 0, 0, IF(C90="", "", Table1[[#This Row],[DATE]]-C90-1))</f>
        <v>0</v>
      </c>
      <c r="E91" s="19" t="str">
        <f>TEXT(Table1[[#This Row],[DATE]],"yyyy-mm")</f>
        <v>2024-11</v>
      </c>
      <c r="F91" s="24" t="s">
        <v>205</v>
      </c>
      <c r="G91" s="28"/>
    </row>
    <row r="92" spans="1:7" x14ac:dyDescent="0.25">
      <c r="A92" s="22" t="s">
        <v>173</v>
      </c>
      <c r="B92" s="22" t="s">
        <v>181</v>
      </c>
      <c r="C92" s="21">
        <v>45603</v>
      </c>
      <c r="D92" s="26">
        <f>IF(IF(C91="", "", Table1[[#This Row],[DATE]]-C91-1) &lt; 0, 0, IF(C91="", "", Table1[[#This Row],[DATE]]-C91-1))</f>
        <v>0</v>
      </c>
      <c r="E92" s="19" t="str">
        <f>TEXT(Table1[[#This Row],[DATE]],"yyyy-mm")</f>
        <v>2024-11</v>
      </c>
      <c r="F92" s="24"/>
      <c r="G92" s="28"/>
    </row>
    <row r="93" spans="1:7" x14ac:dyDescent="0.25">
      <c r="A93" s="22" t="s">
        <v>173</v>
      </c>
      <c r="B93" s="22" t="s">
        <v>172</v>
      </c>
      <c r="C93" s="21">
        <v>45606</v>
      </c>
      <c r="D93" s="26">
        <f>IF(IF(C92="", "", Table1[[#This Row],[DATE]]-C92-1) &lt; 0, 0, IF(C92="", "", Table1[[#This Row],[DATE]]-C92-1))</f>
        <v>2</v>
      </c>
      <c r="E93" s="19" t="str">
        <f>TEXT(Table1[[#This Row],[DATE]],"yyyy-mm")</f>
        <v>2024-11</v>
      </c>
      <c r="F93" s="24"/>
      <c r="G93" s="28"/>
    </row>
    <row r="94" spans="1:7" x14ac:dyDescent="0.25">
      <c r="A94" s="22" t="s">
        <v>173</v>
      </c>
      <c r="B94" s="22" t="s">
        <v>185</v>
      </c>
      <c r="C94" s="21">
        <v>45606</v>
      </c>
      <c r="D94" s="26">
        <f>IF(IF(C93="", "", Table1[[#This Row],[DATE]]-C93-1) &lt; 0, 0, IF(C93="", "", Table1[[#This Row],[DATE]]-C93-1))</f>
        <v>0</v>
      </c>
      <c r="E94" s="19" t="str">
        <f>TEXT(Table1[[#This Row],[DATE]],"yyyy-mm")</f>
        <v>2024-11</v>
      </c>
      <c r="F94" s="24"/>
      <c r="G94" s="28"/>
    </row>
    <row r="95" spans="1:7" x14ac:dyDescent="0.25">
      <c r="A95" s="22" t="s">
        <v>173</v>
      </c>
      <c r="B95" s="22" t="s">
        <v>181</v>
      </c>
      <c r="C95" s="21">
        <v>45606</v>
      </c>
      <c r="D95" s="26">
        <f>IF(IF(C94="", "", Table1[[#This Row],[DATE]]-C94-1) &lt; 0, 0, IF(C94="", "", Table1[[#This Row],[DATE]]-C94-1))</f>
        <v>0</v>
      </c>
      <c r="E95" s="19" t="str">
        <f>TEXT(Table1[[#This Row],[DATE]],"yyyy-mm")</f>
        <v>2024-11</v>
      </c>
      <c r="F95" s="24"/>
      <c r="G95" s="28"/>
    </row>
    <row r="96" spans="1:7" x14ac:dyDescent="0.25">
      <c r="A96" s="22" t="s">
        <v>173</v>
      </c>
      <c r="B96" s="22" t="s">
        <v>169</v>
      </c>
      <c r="C96" s="21">
        <v>45607</v>
      </c>
      <c r="D96" s="26">
        <f>IF(IF(C95="", "", Table1[[#This Row],[DATE]]-C95-1) &lt; 0, 0, IF(C95="", "", Table1[[#This Row],[DATE]]-C95-1))</f>
        <v>0</v>
      </c>
      <c r="E96" s="19" t="str">
        <f>TEXT(Table1[[#This Row],[DATE]],"yyyy-mm")</f>
        <v>2024-11</v>
      </c>
      <c r="F96" s="24"/>
      <c r="G96" s="28"/>
    </row>
    <row r="97" spans="1:7" x14ac:dyDescent="0.25">
      <c r="A97" s="22" t="s">
        <v>173</v>
      </c>
      <c r="B97" s="22" t="s">
        <v>185</v>
      </c>
      <c r="C97" s="21">
        <v>45607</v>
      </c>
      <c r="D97" s="26">
        <f>IF(IF(C96="", "", Table1[[#This Row],[DATE]]-C96-1) &lt; 0, 0, IF(C96="", "", Table1[[#This Row],[DATE]]-C96-1))</f>
        <v>0</v>
      </c>
      <c r="E97" s="19" t="str">
        <f>TEXT(Table1[[#This Row],[DATE]],"yyyy-mm")</f>
        <v>2024-11</v>
      </c>
      <c r="F97" s="24" t="s">
        <v>205</v>
      </c>
      <c r="G97" s="28"/>
    </row>
    <row r="98" spans="1:7" x14ac:dyDescent="0.25">
      <c r="A98" s="22" t="s">
        <v>173</v>
      </c>
      <c r="B98" s="22" t="s">
        <v>169</v>
      </c>
      <c r="C98" s="21">
        <v>45608</v>
      </c>
      <c r="D98" s="26">
        <f>IF(IF(C97="", "", Table1[[#This Row],[DATE]]-C97-1) &lt; 0, 0, IF(C97="", "", Table1[[#This Row],[DATE]]-C97-1))</f>
        <v>0</v>
      </c>
      <c r="E98" s="19" t="str">
        <f>TEXT(Table1[[#This Row],[DATE]],"yyyy-mm")</f>
        <v>2024-11</v>
      </c>
      <c r="F98" s="24"/>
      <c r="G98" s="28"/>
    </row>
    <row r="99" spans="1:7" x14ac:dyDescent="0.25">
      <c r="A99" s="22" t="s">
        <v>173</v>
      </c>
      <c r="B99" s="22" t="s">
        <v>185</v>
      </c>
      <c r="C99" s="21">
        <v>45608</v>
      </c>
      <c r="D99" s="26">
        <f>IF(IF(C98="", "", Table1[[#This Row],[DATE]]-C98-1) &lt; 0, 0, IF(C98="", "", Table1[[#This Row],[DATE]]-C98-1))</f>
        <v>0</v>
      </c>
      <c r="E99" s="19" t="str">
        <f>TEXT(Table1[[#This Row],[DATE]],"yyyy-mm")</f>
        <v>2024-11</v>
      </c>
      <c r="F99" s="24" t="s">
        <v>209</v>
      </c>
      <c r="G99" s="28"/>
    </row>
    <row r="100" spans="1:7" x14ac:dyDescent="0.25">
      <c r="A100" s="22" t="s">
        <v>173</v>
      </c>
      <c r="B100" s="22" t="s">
        <v>171</v>
      </c>
      <c r="C100" s="21">
        <v>45609</v>
      </c>
      <c r="D100" s="26">
        <f>IF(IF(C99="", "", Table1[[#This Row],[DATE]]-C99-1) &lt; 0, 0, IF(C99="", "", Table1[[#This Row],[DATE]]-C99-1))</f>
        <v>0</v>
      </c>
      <c r="E100" s="19" t="str">
        <f>TEXT(Table1[[#This Row],[DATE]],"yyyy-mm")</f>
        <v>2024-11</v>
      </c>
      <c r="F100" s="24"/>
      <c r="G100" s="28"/>
    </row>
    <row r="101" spans="1:7" x14ac:dyDescent="0.25">
      <c r="A101" s="22" t="s">
        <v>173</v>
      </c>
      <c r="B101" s="22" t="s">
        <v>185</v>
      </c>
      <c r="C101" s="21">
        <v>45609</v>
      </c>
      <c r="D101" s="26">
        <f>IF(IF(C100="", "", Table1[[#This Row],[DATE]]-C100-1) &lt; 0, 0, IF(C100="", "", Table1[[#This Row],[DATE]]-C100-1))</f>
        <v>0</v>
      </c>
      <c r="E101" s="19" t="str">
        <f>TEXT(Table1[[#This Row],[DATE]],"yyyy-mm")</f>
        <v>2024-11</v>
      </c>
      <c r="F101" s="24" t="s">
        <v>209</v>
      </c>
      <c r="G101" s="28"/>
    </row>
    <row r="102" spans="1:7" x14ac:dyDescent="0.25">
      <c r="A102" s="22" t="s">
        <v>173</v>
      </c>
      <c r="B102" s="22" t="s">
        <v>172</v>
      </c>
      <c r="C102" s="21">
        <v>45611</v>
      </c>
      <c r="D102" s="26">
        <f>IF(IF(C101="", "", Table1[[#This Row],[DATE]]-C101-1) &lt; 0, 0, IF(C101="", "", Table1[[#This Row],[DATE]]-C101-1))</f>
        <v>1</v>
      </c>
      <c r="E102" s="19" t="str">
        <f>TEXT(Table1[[#This Row],[DATE]],"yyyy-mm")</f>
        <v>2024-11</v>
      </c>
      <c r="F102" s="24"/>
      <c r="G102" s="28"/>
    </row>
    <row r="103" spans="1:7" x14ac:dyDescent="0.25">
      <c r="A103" s="22" t="s">
        <v>173</v>
      </c>
      <c r="B103" s="22" t="s">
        <v>185</v>
      </c>
      <c r="C103" s="21">
        <v>45611</v>
      </c>
      <c r="D103" s="26">
        <f>IF(IF(C102="", "", Table1[[#This Row],[DATE]]-C102-1) &lt; 0, 0, IF(C102="", "", Table1[[#This Row],[DATE]]-C102-1))</f>
        <v>0</v>
      </c>
      <c r="E103" s="19" t="str">
        <f>TEXT(Table1[[#This Row],[DATE]],"yyyy-mm")</f>
        <v>2024-11</v>
      </c>
      <c r="F103" s="24" t="s">
        <v>209</v>
      </c>
      <c r="G103" s="28"/>
    </row>
    <row r="104" spans="1:7" x14ac:dyDescent="0.25">
      <c r="A104" s="22" t="s">
        <v>173</v>
      </c>
      <c r="B104" s="22" t="s">
        <v>169</v>
      </c>
      <c r="C104" s="21">
        <v>45613</v>
      </c>
      <c r="D104" s="26">
        <f>IF(IF(C103="", "", Table1[[#This Row],[DATE]]-C103-1) &lt; 0, 0, IF(C103="", "", Table1[[#This Row],[DATE]]-C103-1))</f>
        <v>1</v>
      </c>
      <c r="E104" s="19" t="str">
        <f>TEXT(Table1[[#This Row],[DATE]],"yyyy-mm")</f>
        <v>2024-11</v>
      </c>
      <c r="F104" s="24"/>
      <c r="G104" s="28"/>
    </row>
    <row r="105" spans="1:7" x14ac:dyDescent="0.25">
      <c r="A105" s="22" t="s">
        <v>173</v>
      </c>
      <c r="B105" s="22" t="s">
        <v>185</v>
      </c>
      <c r="C105" s="21">
        <v>45613</v>
      </c>
      <c r="D105" s="26">
        <f>IF(IF(C104="", "", Table1[[#This Row],[DATE]]-C104-1) &lt; 0, 0, IF(C104="", "", Table1[[#This Row],[DATE]]-C104-1))</f>
        <v>0</v>
      </c>
      <c r="E105" s="19" t="str">
        <f>TEXT(Table1[[#This Row],[DATE]],"yyyy-mm")</f>
        <v>2024-11</v>
      </c>
      <c r="F105" s="24" t="s">
        <v>213</v>
      </c>
      <c r="G105" s="28"/>
    </row>
    <row r="106" spans="1:7" x14ac:dyDescent="0.25">
      <c r="A106" s="22" t="s">
        <v>173</v>
      </c>
      <c r="B106" s="22" t="s">
        <v>170</v>
      </c>
      <c r="C106" s="21">
        <v>45614</v>
      </c>
      <c r="D106" s="26">
        <f>IF(IF(C105="", "", Table1[[#This Row],[DATE]]-C105-1) &lt; 0, 0, IF(C105="", "", Table1[[#This Row],[DATE]]-C105-1))</f>
        <v>0</v>
      </c>
      <c r="E106" s="19" t="str">
        <f>TEXT(Table1[[#This Row],[DATE]],"yyyy-mm")</f>
        <v>2024-11</v>
      </c>
      <c r="F106" s="24"/>
      <c r="G106" s="28"/>
    </row>
    <row r="107" spans="1:7" x14ac:dyDescent="0.25">
      <c r="A107" s="22" t="s">
        <v>173</v>
      </c>
      <c r="B107" s="22" t="s">
        <v>185</v>
      </c>
      <c r="C107" s="21">
        <v>45614</v>
      </c>
      <c r="D107" s="26">
        <f>IF(IF(C106="", "", Table1[[#This Row],[DATE]]-C106-1) &lt; 0, 0, IF(C106="", "", Table1[[#This Row],[DATE]]-C106-1))</f>
        <v>0</v>
      </c>
      <c r="E107" s="19" t="str">
        <f>TEXT(Table1[[#This Row],[DATE]],"yyyy-mm")</f>
        <v>2024-11</v>
      </c>
      <c r="F107" s="24" t="s">
        <v>213</v>
      </c>
      <c r="G107" s="28"/>
    </row>
    <row r="108" spans="1:7" x14ac:dyDescent="0.25">
      <c r="A108" s="22" t="s">
        <v>173</v>
      </c>
      <c r="B108" s="22" t="s">
        <v>171</v>
      </c>
      <c r="C108" s="21">
        <v>45615</v>
      </c>
      <c r="D108" s="26">
        <f>IF(IF(C107="", "", Table1[[#This Row],[DATE]]-C107-1) &lt; 0, 0, IF(C107="", "", Table1[[#This Row],[DATE]]-C107-1))</f>
        <v>0</v>
      </c>
      <c r="E108" s="19" t="str">
        <f>TEXT(Table1[[#This Row],[DATE]],"yyyy-mm")</f>
        <v>2024-11</v>
      </c>
      <c r="F108" s="24"/>
      <c r="G108" s="28"/>
    </row>
    <row r="109" spans="1:7" x14ac:dyDescent="0.25">
      <c r="A109" s="22" t="s">
        <v>173</v>
      </c>
      <c r="B109" s="22" t="s">
        <v>185</v>
      </c>
      <c r="C109" s="21">
        <v>45615</v>
      </c>
      <c r="D109" s="26">
        <f>IF(IF(C108="", "", Table1[[#This Row],[DATE]]-C108-1) &lt; 0, 0, IF(C108="", "", Table1[[#This Row],[DATE]]-C108-1))</f>
        <v>0</v>
      </c>
      <c r="E109" s="19" t="str">
        <f>TEXT(Table1[[#This Row],[DATE]],"yyyy-mm")</f>
        <v>2024-11</v>
      </c>
      <c r="F109" s="24" t="s">
        <v>213</v>
      </c>
      <c r="G109" s="28"/>
    </row>
    <row r="110" spans="1:7" x14ac:dyDescent="0.25">
      <c r="A110" s="22" t="s">
        <v>173</v>
      </c>
      <c r="B110" s="22" t="s">
        <v>172</v>
      </c>
      <c r="C110" s="21">
        <v>45617</v>
      </c>
      <c r="D110" s="26">
        <f>IF(IF(C109="", "", Table1[[#This Row],[DATE]]-C109-1) &lt; 0, 0, IF(C109="", "", Table1[[#This Row],[DATE]]-C109-1))</f>
        <v>1</v>
      </c>
      <c r="E110" s="19" t="str">
        <f>TEXT(Table1[[#This Row],[DATE]],"yyyy-mm")</f>
        <v>2024-11</v>
      </c>
      <c r="F110" s="24"/>
      <c r="G110" s="28"/>
    </row>
    <row r="111" spans="1:7" x14ac:dyDescent="0.25">
      <c r="A111" s="22" t="s">
        <v>173</v>
      </c>
      <c r="B111" s="22" t="s">
        <v>181</v>
      </c>
      <c r="C111" s="21">
        <v>45617</v>
      </c>
      <c r="D111" s="26">
        <f>IF(IF(C110="", "", Table1[[#This Row],[DATE]]-C110-1) &lt; 0, 0, IF(C110="", "", Table1[[#This Row],[DATE]]-C110-1))</f>
        <v>0</v>
      </c>
      <c r="E111" s="19" t="str">
        <f>TEXT(Table1[[#This Row],[DATE]],"yyyy-mm")</f>
        <v>2024-11</v>
      </c>
      <c r="F111" s="24"/>
      <c r="G111" s="28"/>
    </row>
    <row r="112" spans="1:7" x14ac:dyDescent="0.25">
      <c r="A112" s="22" t="s">
        <v>173</v>
      </c>
      <c r="B112" s="22" t="s">
        <v>185</v>
      </c>
      <c r="C112" s="21">
        <v>45617</v>
      </c>
      <c r="D112" s="26">
        <f>IF(IF(C111="", "", Table1[[#This Row],[DATE]]-C111-1) &lt; 0, 0, IF(C111="", "", Table1[[#This Row],[DATE]]-C111-1))</f>
        <v>0</v>
      </c>
      <c r="E112" s="19" t="str">
        <f>TEXT(Table1[[#This Row],[DATE]],"yyyy-mm")</f>
        <v>2024-11</v>
      </c>
      <c r="F112" s="24" t="s">
        <v>213</v>
      </c>
      <c r="G112" s="28"/>
    </row>
    <row r="113" spans="1:7" x14ac:dyDescent="0.25">
      <c r="A113" s="22" t="s">
        <v>173</v>
      </c>
      <c r="B113" s="22" t="s">
        <v>169</v>
      </c>
      <c r="C113" s="21">
        <v>45618</v>
      </c>
      <c r="D113" s="26">
        <f>IF(IF(C112="", "", Table1[[#This Row],[DATE]]-C112-1) &lt; 0, 0, IF(C112="", "", Table1[[#This Row],[DATE]]-C112-1))</f>
        <v>0</v>
      </c>
      <c r="E113" s="19" t="str">
        <f>TEXT(Table1[[#This Row],[DATE]],"yyyy-mm")</f>
        <v>2024-11</v>
      </c>
      <c r="F113" s="24"/>
      <c r="G113" s="28"/>
    </row>
    <row r="114" spans="1:7" x14ac:dyDescent="0.25">
      <c r="A114" s="22" t="s">
        <v>173</v>
      </c>
      <c r="B114" s="22" t="s">
        <v>185</v>
      </c>
      <c r="C114" s="21">
        <v>45618</v>
      </c>
      <c r="D114" s="26">
        <f>IF(IF(C113="", "", Table1[[#This Row],[DATE]]-C113-1) &lt; 0, 0, IF(C113="", "", Table1[[#This Row],[DATE]]-C113-1))</f>
        <v>0</v>
      </c>
      <c r="E114" s="19" t="str">
        <f>TEXT(Table1[[#This Row],[DATE]],"yyyy-mm")</f>
        <v>2024-11</v>
      </c>
      <c r="F114" s="24" t="s">
        <v>213</v>
      </c>
      <c r="G114" s="28"/>
    </row>
    <row r="115" spans="1:7" x14ac:dyDescent="0.25">
      <c r="A115" s="22" t="s">
        <v>173</v>
      </c>
      <c r="B115" s="22" t="s">
        <v>170</v>
      </c>
      <c r="C115" s="21">
        <v>45620</v>
      </c>
      <c r="D115" s="26">
        <f>IF(IF(C114="", "", Table1[[#This Row],[DATE]]-C114-1) &lt; 0, 0, IF(C114="", "", Table1[[#This Row],[DATE]]-C114-1))</f>
        <v>1</v>
      </c>
      <c r="E115" s="19" t="str">
        <f>TEXT(Table1[[#This Row],[DATE]],"yyyy-mm")</f>
        <v>2024-11</v>
      </c>
      <c r="F115" s="24"/>
      <c r="G115" s="28"/>
    </row>
    <row r="116" spans="1:7" x14ac:dyDescent="0.25">
      <c r="A116" s="22" t="s">
        <v>173</v>
      </c>
      <c r="B116" s="22" t="s">
        <v>185</v>
      </c>
      <c r="C116" s="21">
        <v>45620</v>
      </c>
      <c r="D116" s="26">
        <f>IF(IF(C115="", "", Table1[[#This Row],[DATE]]-C115-1) &lt; 0, 0, IF(C115="", "", Table1[[#This Row],[DATE]]-C115-1))</f>
        <v>0</v>
      </c>
      <c r="E116" s="19" t="str">
        <f>TEXT(Table1[[#This Row],[DATE]],"yyyy-mm")</f>
        <v>2024-11</v>
      </c>
      <c r="F116" s="24" t="s">
        <v>213</v>
      </c>
      <c r="G116" s="28"/>
    </row>
    <row r="117" spans="1:7" x14ac:dyDescent="0.25">
      <c r="A117" s="22" t="s">
        <v>173</v>
      </c>
      <c r="B117" s="22" t="s">
        <v>171</v>
      </c>
      <c r="C117" s="21">
        <v>45622</v>
      </c>
      <c r="D117" s="26">
        <f>IF(IF(C116="", "", Table1[[#This Row],[DATE]]-C116-1) &lt; 0, 0, IF(C116="", "", Table1[[#This Row],[DATE]]-C116-1))</f>
        <v>1</v>
      </c>
      <c r="E117" s="19" t="str">
        <f>TEXT(Table1[[#This Row],[DATE]],"yyyy-mm")</f>
        <v>2024-11</v>
      </c>
      <c r="F117" s="24"/>
      <c r="G117" s="28"/>
    </row>
    <row r="118" spans="1:7" x14ac:dyDescent="0.25">
      <c r="A118" s="22" t="s">
        <v>173</v>
      </c>
      <c r="B118" s="22" t="s">
        <v>185</v>
      </c>
      <c r="C118" s="21">
        <v>45622</v>
      </c>
      <c r="D118" s="26">
        <f>IF(IF(C117="", "", Table1[[#This Row],[DATE]]-C117-1) &lt; 0, 0, IF(C117="", "", Table1[[#This Row],[DATE]]-C117-1))</f>
        <v>0</v>
      </c>
      <c r="E118" s="19" t="str">
        <f>TEXT(Table1[[#This Row],[DATE]],"yyyy-mm")</f>
        <v>2024-11</v>
      </c>
      <c r="F118" s="24" t="s">
        <v>213</v>
      </c>
      <c r="G118" s="28"/>
    </row>
    <row r="119" spans="1:7" x14ac:dyDescent="0.25">
      <c r="A119" s="22" t="s">
        <v>173</v>
      </c>
      <c r="B119" s="22" t="s">
        <v>169</v>
      </c>
      <c r="C119" s="21">
        <v>45623</v>
      </c>
      <c r="D119" s="26">
        <f>IF(IF(C118="", "", Table1[[#This Row],[DATE]]-C118-1) &lt; 0, 0, IF(C118="", "", Table1[[#This Row],[DATE]]-C118-1))</f>
        <v>0</v>
      </c>
      <c r="E119" s="19" t="str">
        <f>TEXT(Table1[[#This Row],[DATE]],"yyyy-mm")</f>
        <v>2024-11</v>
      </c>
      <c r="F119" s="24"/>
      <c r="G119" s="28"/>
    </row>
    <row r="120" spans="1:7" x14ac:dyDescent="0.25">
      <c r="A120" s="22" t="s">
        <v>173</v>
      </c>
      <c r="B120" s="22" t="s">
        <v>185</v>
      </c>
      <c r="C120" s="21">
        <v>45623</v>
      </c>
      <c r="D120" s="26">
        <f>IF(IF(C119="", "", Table1[[#This Row],[DATE]]-C119-1) &lt; 0, 0, IF(C119="", "", Table1[[#This Row],[DATE]]-C119-1))</f>
        <v>0</v>
      </c>
      <c r="E120" s="19" t="str">
        <f>TEXT(Table1[[#This Row],[DATE]],"yyyy-mm")</f>
        <v>2024-11</v>
      </c>
      <c r="F120" s="24" t="s">
        <v>213</v>
      </c>
      <c r="G120" s="28"/>
    </row>
    <row r="121" spans="1:7" x14ac:dyDescent="0.25">
      <c r="A121" s="22" t="s">
        <v>173</v>
      </c>
      <c r="B121" s="22" t="s">
        <v>172</v>
      </c>
      <c r="C121" s="21">
        <v>45625</v>
      </c>
      <c r="D121" s="26">
        <f>IF(IF(C120="", "", Table1[[#This Row],[DATE]]-C120-1) &lt; 0, 0, IF(C120="", "", Table1[[#This Row],[DATE]]-C120-1))</f>
        <v>1</v>
      </c>
      <c r="E121" s="19" t="str">
        <f>TEXT(Table1[[#This Row],[DATE]],"yyyy-mm")</f>
        <v>2024-11</v>
      </c>
      <c r="F121" s="24"/>
      <c r="G121" s="28"/>
    </row>
    <row r="122" spans="1:7" x14ac:dyDescent="0.25">
      <c r="A122" s="22" t="s">
        <v>173</v>
      </c>
      <c r="B122" s="22" t="s">
        <v>185</v>
      </c>
      <c r="C122" s="21">
        <v>45625</v>
      </c>
      <c r="D122" s="26">
        <f>IF(IF(C121="", "", Table1[[#This Row],[DATE]]-C121-1) &lt; 0, 0, IF(C121="", "", Table1[[#This Row],[DATE]]-C121-1))</f>
        <v>0</v>
      </c>
      <c r="E122" s="19" t="str">
        <f>TEXT(Table1[[#This Row],[DATE]],"yyyy-mm")</f>
        <v>2024-11</v>
      </c>
      <c r="F122" s="24" t="s">
        <v>213</v>
      </c>
      <c r="G122" s="28"/>
    </row>
    <row r="123" spans="1:7" x14ac:dyDescent="0.25">
      <c r="A123" s="22" t="s">
        <v>173</v>
      </c>
      <c r="B123" s="22" t="s">
        <v>185</v>
      </c>
      <c r="C123" s="21">
        <v>45627</v>
      </c>
      <c r="D123" s="26">
        <f>IF(IF(C122="", "", Table1[[#This Row],[DATE]]-C122-1) &lt; 0, 0, IF(C122="", "", Table1[[#This Row],[DATE]]-C122-1))</f>
        <v>1</v>
      </c>
      <c r="E123" s="19" t="str">
        <f>TEXT(Table1[[#This Row],[DATE]],"yyyy-mm")</f>
        <v>2024-12</v>
      </c>
      <c r="F123" s="24" t="s">
        <v>217</v>
      </c>
      <c r="G123" s="28"/>
    </row>
    <row r="124" spans="1:7" x14ac:dyDescent="0.25">
      <c r="A124" s="22" t="s">
        <v>173</v>
      </c>
      <c r="B124" s="22" t="s">
        <v>169</v>
      </c>
      <c r="C124" s="21">
        <v>45629</v>
      </c>
      <c r="D124" s="26">
        <f>IF(IF(C123="", "", Table1[[#This Row],[DATE]]-C123-1) &lt; 0, 0, IF(C123="", "", Table1[[#This Row],[DATE]]-C123-1))</f>
        <v>1</v>
      </c>
      <c r="E124" s="19" t="str">
        <f>TEXT(Table1[[#This Row],[DATE]],"yyyy-mm")</f>
        <v>2024-12</v>
      </c>
      <c r="F124" s="24"/>
      <c r="G124" s="28"/>
    </row>
    <row r="125" spans="1:7" x14ac:dyDescent="0.25">
      <c r="A125" s="22" t="s">
        <v>173</v>
      </c>
      <c r="B125" s="22" t="s">
        <v>185</v>
      </c>
      <c r="C125" s="21">
        <v>45629</v>
      </c>
      <c r="D125" s="26">
        <f>IF(IF(C124="", "", Table1[[#This Row],[DATE]]-C124-1) &lt; 0, 0, IF(C124="", "", Table1[[#This Row],[DATE]]-C124-1))</f>
        <v>0</v>
      </c>
      <c r="E125" s="19" t="str">
        <f>TEXT(Table1[[#This Row],[DATE]],"yyyy-mm")</f>
        <v>2024-12</v>
      </c>
      <c r="F125" s="24" t="s">
        <v>213</v>
      </c>
      <c r="G125" s="28"/>
    </row>
    <row r="126" spans="1:7" x14ac:dyDescent="0.25">
      <c r="A126" s="22" t="s">
        <v>173</v>
      </c>
      <c r="B126" s="22" t="s">
        <v>170</v>
      </c>
      <c r="C126" s="21">
        <v>45630</v>
      </c>
      <c r="D126" s="26">
        <f>IF(IF(C125="", "", Table1[[#This Row],[DATE]]-C125-1) &lt; 0, 0, IF(C125="", "", Table1[[#This Row],[DATE]]-C125-1))</f>
        <v>0</v>
      </c>
      <c r="E126" s="19" t="str">
        <f>TEXT(Table1[[#This Row],[DATE]],"yyyy-mm")</f>
        <v>2024-12</v>
      </c>
      <c r="F126" s="24"/>
      <c r="G126" s="28"/>
    </row>
    <row r="127" spans="1:7" x14ac:dyDescent="0.25">
      <c r="A127" s="22" t="s">
        <v>173</v>
      </c>
      <c r="B127" s="22" t="s">
        <v>185</v>
      </c>
      <c r="C127" s="21">
        <v>45630</v>
      </c>
      <c r="D127" s="26">
        <f>IF(IF(C126="", "", Table1[[#This Row],[DATE]]-C126-1) &lt; 0, 0, IF(C126="", "", Table1[[#This Row],[DATE]]-C126-1))</f>
        <v>0</v>
      </c>
      <c r="E127" s="19" t="str">
        <f>TEXT(Table1[[#This Row],[DATE]],"yyyy-mm")</f>
        <v>2024-12</v>
      </c>
      <c r="F127" s="24" t="s">
        <v>213</v>
      </c>
      <c r="G127" s="28"/>
    </row>
    <row r="128" spans="1:7" x14ac:dyDescent="0.25">
      <c r="A128" s="22" t="s">
        <v>173</v>
      </c>
      <c r="B128" s="22" t="s">
        <v>171</v>
      </c>
      <c r="C128" s="21">
        <v>45631</v>
      </c>
      <c r="D128" s="26">
        <f>IF(IF(C127="", "", Table1[[#This Row],[DATE]]-C127-1) &lt; 0, 0, IF(C127="", "", Table1[[#This Row],[DATE]]-C127-1))</f>
        <v>0</v>
      </c>
      <c r="E128" s="19" t="str">
        <f>TEXT(Table1[[#This Row],[DATE]],"yyyy-mm")</f>
        <v>2024-12</v>
      </c>
      <c r="F128" s="24"/>
      <c r="G128" s="28"/>
    </row>
    <row r="129" spans="1:7" x14ac:dyDescent="0.25">
      <c r="A129" s="22" t="s">
        <v>173</v>
      </c>
      <c r="B129" s="22" t="s">
        <v>185</v>
      </c>
      <c r="C129" s="21">
        <v>45631</v>
      </c>
      <c r="D129" s="26">
        <f>IF(IF(C128="", "", Table1[[#This Row],[DATE]]-C128-1) &lt; 0, 0, IF(C128="", "", Table1[[#This Row],[DATE]]-C128-1))</f>
        <v>0</v>
      </c>
      <c r="E129" s="19" t="str">
        <f>TEXT(Table1[[#This Row],[DATE]],"yyyy-mm")</f>
        <v>2024-12</v>
      </c>
      <c r="F129" s="24" t="s">
        <v>213</v>
      </c>
      <c r="G129" s="28"/>
    </row>
    <row r="130" spans="1:7" x14ac:dyDescent="0.25">
      <c r="A130" s="22" t="s">
        <v>173</v>
      </c>
      <c r="B130" s="22" t="s">
        <v>172</v>
      </c>
      <c r="C130" s="21">
        <v>45633</v>
      </c>
      <c r="D130" s="26">
        <f>IF(IF(C129="", "", Table1[[#This Row],[DATE]]-C129-1) &lt; 0, 0, IF(C129="", "", Table1[[#This Row],[DATE]]-C129-1))</f>
        <v>1</v>
      </c>
      <c r="E130" s="19" t="str">
        <f>TEXT(Table1[[#This Row],[DATE]],"yyyy-mm")</f>
        <v>2024-12</v>
      </c>
      <c r="F130" s="24"/>
      <c r="G130" s="28"/>
    </row>
    <row r="131" spans="1:7" x14ac:dyDescent="0.25">
      <c r="A131" s="22" t="s">
        <v>173</v>
      </c>
      <c r="B131" s="22" t="s">
        <v>185</v>
      </c>
      <c r="C131" s="21">
        <v>45633</v>
      </c>
      <c r="D131" s="26">
        <f>IF(IF(C130="", "", Table1[[#This Row],[DATE]]-C130-1) &lt; 0, 0, IF(C130="", "", Table1[[#This Row],[DATE]]-C130-1))</f>
        <v>0</v>
      </c>
      <c r="E131" s="19" t="str">
        <f>TEXT(Table1[[#This Row],[DATE]],"yyyy-mm")</f>
        <v>2024-12</v>
      </c>
      <c r="F131" s="24" t="s">
        <v>213</v>
      </c>
      <c r="G131" s="28"/>
    </row>
    <row r="132" spans="1:7" x14ac:dyDescent="0.25">
      <c r="A132" s="22" t="s">
        <v>173</v>
      </c>
      <c r="B132" s="22" t="s">
        <v>169</v>
      </c>
      <c r="C132" s="21">
        <v>45634</v>
      </c>
      <c r="D132" s="26">
        <f>IF(IF(C131="", "", Table1[[#This Row],[DATE]]-C131-1) &lt; 0, 0, IF(C131="", "", Table1[[#This Row],[DATE]]-C131-1))</f>
        <v>0</v>
      </c>
      <c r="E132" s="19" t="str">
        <f>TEXT(Table1[[#This Row],[DATE]],"yyyy-mm")</f>
        <v>2024-12</v>
      </c>
      <c r="F132" s="24"/>
      <c r="G132" s="28"/>
    </row>
    <row r="133" spans="1:7" x14ac:dyDescent="0.25">
      <c r="A133" s="22" t="s">
        <v>173</v>
      </c>
      <c r="B133" s="22" t="s">
        <v>181</v>
      </c>
      <c r="C133" s="21">
        <v>45634</v>
      </c>
      <c r="D133" s="26">
        <f>IF(IF(C132="", "", Table1[[#This Row],[DATE]]-C132-1) &lt; 0, 0, IF(C132="", "", Table1[[#This Row],[DATE]]-C132-1))</f>
        <v>0</v>
      </c>
      <c r="E133" s="19" t="str">
        <f>TEXT(Table1[[#This Row],[DATE]],"yyyy-mm")</f>
        <v>2024-12</v>
      </c>
      <c r="F133" s="24"/>
      <c r="G133" s="28"/>
    </row>
    <row r="134" spans="1:7" x14ac:dyDescent="0.25">
      <c r="A134" s="22" t="s">
        <v>173</v>
      </c>
      <c r="B134" s="22" t="s">
        <v>185</v>
      </c>
      <c r="C134" s="21">
        <v>45634</v>
      </c>
      <c r="D134" s="26">
        <f>IF(IF(C133="", "", Table1[[#This Row],[DATE]]-C133-1) &lt; 0, 0, IF(C133="", "", Table1[[#This Row],[DATE]]-C133-1))</f>
        <v>0</v>
      </c>
      <c r="E134" s="19" t="str">
        <f>TEXT(Table1[[#This Row],[DATE]],"yyyy-mm")</f>
        <v>2024-12</v>
      </c>
      <c r="F134" s="24" t="s">
        <v>213</v>
      </c>
      <c r="G134" s="28"/>
    </row>
    <row r="135" spans="1:7" x14ac:dyDescent="0.25">
      <c r="A135" s="22" t="s">
        <v>173</v>
      </c>
      <c r="B135" s="22" t="s">
        <v>170</v>
      </c>
      <c r="C135" s="21">
        <v>45635</v>
      </c>
      <c r="D135" s="26">
        <f>IF(IF(C134="", "", Table1[[#This Row],[DATE]]-C134-1) &lt; 0, 0, IF(C134="", "", Table1[[#This Row],[DATE]]-C134-1))</f>
        <v>0</v>
      </c>
      <c r="E135" s="19" t="str">
        <f>TEXT(Table1[[#This Row],[DATE]],"yyyy-mm")</f>
        <v>2024-12</v>
      </c>
      <c r="F135" s="24"/>
      <c r="G135" s="28"/>
    </row>
    <row r="136" spans="1:7" x14ac:dyDescent="0.25">
      <c r="A136" s="22" t="s">
        <v>173</v>
      </c>
      <c r="B136" s="22" t="s">
        <v>185</v>
      </c>
      <c r="C136" s="21">
        <v>45635</v>
      </c>
      <c r="D136" s="26">
        <f>IF(IF(C135="", "", Table1[[#This Row],[DATE]]-C135-1) &lt; 0, 0, IF(C135="", "", Table1[[#This Row],[DATE]]-C135-1))</f>
        <v>0</v>
      </c>
      <c r="E136" s="19" t="str">
        <f>TEXT(Table1[[#This Row],[DATE]],"yyyy-mm")</f>
        <v>2024-12</v>
      </c>
      <c r="F136" s="24" t="s">
        <v>213</v>
      </c>
      <c r="G136" s="28"/>
    </row>
    <row r="137" spans="1:7" x14ac:dyDescent="0.25">
      <c r="A137" s="22" t="s">
        <v>173</v>
      </c>
      <c r="B137" s="22" t="s">
        <v>172</v>
      </c>
      <c r="C137" s="21">
        <v>45637</v>
      </c>
      <c r="D137" s="26">
        <f>IF(IF(C136="", "", Table1[[#This Row],[DATE]]-C136-1) &lt; 0, 0, IF(C136="", "", Table1[[#This Row],[DATE]]-C136-1))</f>
        <v>1</v>
      </c>
      <c r="E137" s="19" t="str">
        <f>TEXT(Table1[[#This Row],[DATE]],"yyyy-mm")</f>
        <v>2024-12</v>
      </c>
      <c r="F137" s="24"/>
      <c r="G137" s="28"/>
    </row>
    <row r="138" spans="1:7" x14ac:dyDescent="0.25">
      <c r="A138" s="22" t="s">
        <v>173</v>
      </c>
      <c r="B138" s="22" t="s">
        <v>185</v>
      </c>
      <c r="C138" s="21">
        <v>45637</v>
      </c>
      <c r="D138" s="26">
        <f>IF(IF(C137="", "", Table1[[#This Row],[DATE]]-C137-1) &lt; 0, 0, IF(C137="", "", Table1[[#This Row],[DATE]]-C137-1))</f>
        <v>0</v>
      </c>
      <c r="E138" s="19" t="str">
        <f>TEXT(Table1[[#This Row],[DATE]],"yyyy-mm")</f>
        <v>2024-12</v>
      </c>
      <c r="F138" s="24" t="s">
        <v>213</v>
      </c>
      <c r="G138" s="28"/>
    </row>
    <row r="139" spans="1:7" x14ac:dyDescent="0.25">
      <c r="A139" s="22" t="s">
        <v>173</v>
      </c>
      <c r="B139" s="22" t="s">
        <v>171</v>
      </c>
      <c r="C139" s="21">
        <v>45640</v>
      </c>
      <c r="D139" s="26">
        <f>IF(IF(C138="", "", Table1[[#This Row],[DATE]]-C138-1) &lt; 0, 0, IF(C138="", "", Table1[[#This Row],[DATE]]-C138-1))</f>
        <v>2</v>
      </c>
      <c r="E139" s="19" t="str">
        <f>TEXT(Table1[[#This Row],[DATE]],"yyyy-mm")</f>
        <v>2024-12</v>
      </c>
      <c r="F139" s="24"/>
      <c r="G139" s="28"/>
    </row>
    <row r="140" spans="1:7" x14ac:dyDescent="0.25">
      <c r="A140" s="22" t="s">
        <v>173</v>
      </c>
      <c r="B140" s="22" t="s">
        <v>185</v>
      </c>
      <c r="C140" s="21">
        <v>45640</v>
      </c>
      <c r="D140" s="26">
        <f>IF(IF(C139="", "", Table1[[#This Row],[DATE]]-C139-1) &lt; 0, 0, IF(C139="", "", Table1[[#This Row],[DATE]]-C139-1))</f>
        <v>0</v>
      </c>
      <c r="E140" s="19" t="str">
        <f>TEXT(Table1[[#This Row],[DATE]],"yyyy-mm")</f>
        <v>2024-12</v>
      </c>
      <c r="F140" s="24" t="s">
        <v>213</v>
      </c>
      <c r="G140" s="28"/>
    </row>
    <row r="141" spans="1:7" x14ac:dyDescent="0.25">
      <c r="A141" s="22" t="s">
        <v>173</v>
      </c>
      <c r="B141" s="22" t="s">
        <v>169</v>
      </c>
      <c r="C141" s="21">
        <v>45642</v>
      </c>
      <c r="D141" s="26">
        <f>IF(IF(C140="", "", Table1[[#This Row],[DATE]]-C140-1) &lt; 0, 0, IF(C140="", "", Table1[[#This Row],[DATE]]-C140-1))</f>
        <v>1</v>
      </c>
      <c r="E141" s="19" t="str">
        <f>TEXT(Table1[[#This Row],[DATE]],"yyyy-mm")</f>
        <v>2024-12</v>
      </c>
      <c r="F141" s="24"/>
      <c r="G141" s="28"/>
    </row>
    <row r="142" spans="1:7" x14ac:dyDescent="0.25">
      <c r="A142" s="22" t="s">
        <v>173</v>
      </c>
      <c r="B142" s="22" t="s">
        <v>185</v>
      </c>
      <c r="C142" s="21">
        <v>45642</v>
      </c>
      <c r="D142" s="26">
        <f>IF(IF(C141="", "", Table1[[#This Row],[DATE]]-C141-1) &lt; 0, 0, IF(C141="", "", Table1[[#This Row],[DATE]]-C141-1))</f>
        <v>0</v>
      </c>
      <c r="E142" s="19" t="str">
        <f>TEXT(Table1[[#This Row],[DATE]],"yyyy-mm")</f>
        <v>2024-12</v>
      </c>
      <c r="F142" s="24" t="s">
        <v>213</v>
      </c>
      <c r="G142" s="28"/>
    </row>
    <row r="143" spans="1:7" x14ac:dyDescent="0.25">
      <c r="A143" s="22" t="s">
        <v>173</v>
      </c>
      <c r="B143" s="22" t="s">
        <v>172</v>
      </c>
      <c r="C143" s="21">
        <v>45644</v>
      </c>
      <c r="D143" s="26">
        <f>IF(IF(C142="", "", Table1[[#This Row],[DATE]]-C142-1) &lt; 0, 0, IF(C142="", "", Table1[[#This Row],[DATE]]-C142-1))</f>
        <v>1</v>
      </c>
      <c r="E143" s="19" t="str">
        <f>TEXT(Table1[[#This Row],[DATE]],"yyyy-mm")</f>
        <v>2024-12</v>
      </c>
      <c r="F143" s="24"/>
      <c r="G143" s="28"/>
    </row>
    <row r="144" spans="1:7" x14ac:dyDescent="0.25">
      <c r="A144" s="22" t="s">
        <v>173</v>
      </c>
      <c r="B144" s="22" t="s">
        <v>185</v>
      </c>
      <c r="C144" s="21">
        <v>45644</v>
      </c>
      <c r="D144" s="26">
        <f>IF(IF(C143="", "", Table1[[#This Row],[DATE]]-C143-1) &lt; 0, 0, IF(C143="", "", Table1[[#This Row],[DATE]]-C143-1))</f>
        <v>0</v>
      </c>
      <c r="E144" s="19" t="str">
        <f>TEXT(Table1[[#This Row],[DATE]],"yyyy-mm")</f>
        <v>2024-12</v>
      </c>
      <c r="F144" s="24" t="s">
        <v>213</v>
      </c>
      <c r="G144" s="28"/>
    </row>
    <row r="145" spans="1:7" x14ac:dyDescent="0.25">
      <c r="A145" s="22" t="s">
        <v>173</v>
      </c>
      <c r="B145" s="22" t="s">
        <v>170</v>
      </c>
      <c r="C145" s="21">
        <v>45645</v>
      </c>
      <c r="D145" s="26">
        <f>IF(IF(C144="", "", Table1[[#This Row],[DATE]]-C144-1) &lt; 0, 0, IF(C144="", "", Table1[[#This Row],[DATE]]-C144-1))</f>
        <v>0</v>
      </c>
      <c r="E145" s="19" t="str">
        <f>TEXT(Table1[[#This Row],[DATE]],"yyyy-mm")</f>
        <v>2024-12</v>
      </c>
      <c r="F145" s="24"/>
      <c r="G145" s="28"/>
    </row>
    <row r="146" spans="1:7" x14ac:dyDescent="0.25">
      <c r="A146" s="22" t="s">
        <v>173</v>
      </c>
      <c r="B146" s="22" t="s">
        <v>185</v>
      </c>
      <c r="C146" s="21">
        <v>45645</v>
      </c>
      <c r="D146" s="26">
        <f>IF(IF(C145="", "", Table1[[#This Row],[DATE]]-C145-1) &lt; 0, 0, IF(C145="", "", Table1[[#This Row],[DATE]]-C145-1))</f>
        <v>0</v>
      </c>
      <c r="E146" s="19" t="str">
        <f>TEXT(Table1[[#This Row],[DATE]],"yyyy-mm")</f>
        <v>2024-12</v>
      </c>
      <c r="F146" s="24" t="s">
        <v>220</v>
      </c>
      <c r="G146" s="28"/>
    </row>
    <row r="147" spans="1:7" x14ac:dyDescent="0.25">
      <c r="A147" s="22" t="s">
        <v>173</v>
      </c>
      <c r="B147" s="22" t="s">
        <v>171</v>
      </c>
      <c r="C147" s="21">
        <v>45646</v>
      </c>
      <c r="D147" s="26">
        <f>IF(IF(C146="", "", Table1[[#This Row],[DATE]]-C146-1) &lt; 0, 0, IF(C146="", "", Table1[[#This Row],[DATE]]-C146-1))</f>
        <v>0</v>
      </c>
      <c r="E147" s="19" t="str">
        <f>TEXT(Table1[[#This Row],[DATE]],"yyyy-mm")</f>
        <v>2024-12</v>
      </c>
      <c r="F147" s="24"/>
      <c r="G147" s="28"/>
    </row>
    <row r="148" spans="1:7" x14ac:dyDescent="0.25">
      <c r="A148" s="22" t="s">
        <v>173</v>
      </c>
      <c r="B148" s="22" t="s">
        <v>185</v>
      </c>
      <c r="C148" s="21">
        <v>45646</v>
      </c>
      <c r="D148" s="26">
        <f>IF(IF(C147="", "", Table1[[#This Row],[DATE]]-C147-1) &lt; 0, 0, IF(C147="", "", Table1[[#This Row],[DATE]]-C147-1))</f>
        <v>0</v>
      </c>
      <c r="E148" s="19" t="str">
        <f>TEXT(Table1[[#This Row],[DATE]],"yyyy-mm")</f>
        <v>2024-12</v>
      </c>
      <c r="F148" s="24" t="s">
        <v>220</v>
      </c>
      <c r="G148" s="28"/>
    </row>
    <row r="149" spans="1:7" x14ac:dyDescent="0.25">
      <c r="A149" s="22" t="s">
        <v>173</v>
      </c>
      <c r="B149" s="22" t="s">
        <v>169</v>
      </c>
      <c r="C149" s="21">
        <v>45648</v>
      </c>
      <c r="D149" s="26">
        <f>IF(IF(C148="", "", Table1[[#This Row],[DATE]]-C148-1) &lt; 0, 0, IF(C148="", "", Table1[[#This Row],[DATE]]-C148-1))</f>
        <v>1</v>
      </c>
      <c r="E149" s="19" t="str">
        <f>TEXT(Table1[[#This Row],[DATE]],"yyyy-mm")</f>
        <v>2024-12</v>
      </c>
      <c r="F149" s="24"/>
      <c r="G149" s="28"/>
    </row>
    <row r="150" spans="1:7" x14ac:dyDescent="0.25">
      <c r="A150" s="22" t="s">
        <v>173</v>
      </c>
      <c r="B150" s="22" t="s">
        <v>185</v>
      </c>
      <c r="C150" s="21">
        <v>45648</v>
      </c>
      <c r="D150" s="26">
        <f>IF(IF(C149="", "", Table1[[#This Row],[DATE]]-C149-1) &lt; 0, 0, IF(C149="", "", Table1[[#This Row],[DATE]]-C149-1))</f>
        <v>0</v>
      </c>
      <c r="E150" s="19" t="str">
        <f>TEXT(Table1[[#This Row],[DATE]],"yyyy-mm")</f>
        <v>2024-12</v>
      </c>
      <c r="F150" s="24" t="s">
        <v>220</v>
      </c>
      <c r="G150" s="28"/>
    </row>
    <row r="151" spans="1:7" x14ac:dyDescent="0.25">
      <c r="A151" s="22" t="s">
        <v>173</v>
      </c>
      <c r="B151" s="22" t="s">
        <v>172</v>
      </c>
      <c r="C151" s="21">
        <v>45649</v>
      </c>
      <c r="D151" s="26">
        <f>IF(IF(C150="", "", Table1[[#This Row],[DATE]]-C150-1) &lt; 0, 0, IF(C150="", "", Table1[[#This Row],[DATE]]-C150-1))</f>
        <v>0</v>
      </c>
      <c r="E151" s="19" t="str">
        <f>TEXT(Table1[[#This Row],[DATE]],"yyyy-mm")</f>
        <v>2024-12</v>
      </c>
      <c r="F151" s="24"/>
      <c r="G151" s="28"/>
    </row>
    <row r="152" spans="1:7" x14ac:dyDescent="0.25">
      <c r="A152" s="22" t="s">
        <v>173</v>
      </c>
      <c r="B152" s="22" t="s">
        <v>185</v>
      </c>
      <c r="C152" s="21">
        <v>45649</v>
      </c>
      <c r="D152" s="26">
        <f>IF(IF(C151="", "", Table1[[#This Row],[DATE]]-C151-1) &lt; 0, 0, IF(C151="", "", Table1[[#This Row],[DATE]]-C151-1))</f>
        <v>0</v>
      </c>
      <c r="E152" s="19" t="str">
        <f>TEXT(Table1[[#This Row],[DATE]],"yyyy-mm")</f>
        <v>2024-12</v>
      </c>
      <c r="F152" s="24" t="s">
        <v>220</v>
      </c>
      <c r="G152" s="28"/>
    </row>
    <row r="153" spans="1:7" x14ac:dyDescent="0.25">
      <c r="A153" s="22" t="s">
        <v>173</v>
      </c>
      <c r="B153" s="22" t="s">
        <v>170</v>
      </c>
      <c r="C153" s="21">
        <v>45651</v>
      </c>
      <c r="D153" s="26">
        <f>IF(IF(C152="", "", Table1[[#This Row],[DATE]]-C152-1) &lt; 0, 0, IF(C152="", "", Table1[[#This Row],[DATE]]-C152-1))</f>
        <v>1</v>
      </c>
      <c r="E153" s="19" t="str">
        <f>TEXT(Table1[[#This Row],[DATE]],"yyyy-mm")</f>
        <v>2024-12</v>
      </c>
      <c r="F153" s="24"/>
      <c r="G153" s="28"/>
    </row>
    <row r="154" spans="1:7" x14ac:dyDescent="0.25">
      <c r="A154" s="22" t="s">
        <v>173</v>
      </c>
      <c r="B154" s="22" t="s">
        <v>185</v>
      </c>
      <c r="C154" s="21">
        <v>45651</v>
      </c>
      <c r="D154" s="26">
        <f>IF(IF(C153="", "", Table1[[#This Row],[DATE]]-C153-1) &lt; 0, 0, IF(C153="", "", Table1[[#This Row],[DATE]]-C153-1))</f>
        <v>0</v>
      </c>
      <c r="E154" s="19" t="str">
        <f>TEXT(Table1[[#This Row],[DATE]],"yyyy-mm")</f>
        <v>2024-12</v>
      </c>
      <c r="F154" s="24" t="s">
        <v>220</v>
      </c>
      <c r="G154" s="28"/>
    </row>
    <row r="155" spans="1:7" x14ac:dyDescent="0.25">
      <c r="A155" s="22" t="s">
        <v>173</v>
      </c>
      <c r="B155" s="22" t="s">
        <v>169</v>
      </c>
      <c r="C155" s="21">
        <v>45660</v>
      </c>
      <c r="D155" s="26">
        <f>IF(IF(C154="", "", Table1[[#This Row],[DATE]]-C154-1) &lt; 0, 0, IF(C154="", "", Table1[[#This Row],[DATE]]-C154-1))</f>
        <v>8</v>
      </c>
      <c r="E155" s="19" t="str">
        <f>TEXT(Table1[[#This Row],[DATE]],"yyyy-mm")</f>
        <v>2025-01</v>
      </c>
      <c r="F155" s="24" t="s">
        <v>222</v>
      </c>
      <c r="G155" s="28"/>
    </row>
    <row r="156" spans="1:7" x14ac:dyDescent="0.25">
      <c r="A156" s="22" t="s">
        <v>173</v>
      </c>
      <c r="B156" s="22" t="s">
        <v>185</v>
      </c>
      <c r="C156" s="21">
        <v>45660</v>
      </c>
      <c r="D156" s="26">
        <f>IF(IF(C155="", "", Table1[[#This Row],[DATE]]-C155-1) &lt; 0, 0, IF(C155="", "", Table1[[#This Row],[DATE]]-C155-1))</f>
        <v>0</v>
      </c>
      <c r="E156" s="19" t="str">
        <f>TEXT(Table1[[#This Row],[DATE]],"yyyy-mm")</f>
        <v>2025-01</v>
      </c>
      <c r="F156" s="24" t="s">
        <v>221</v>
      </c>
      <c r="G156" s="28"/>
    </row>
    <row r="157" spans="1:7" x14ac:dyDescent="0.25">
      <c r="A157" s="22" t="s">
        <v>173</v>
      </c>
      <c r="B157" s="22" t="s">
        <v>170</v>
      </c>
      <c r="C157" s="21">
        <v>45661</v>
      </c>
      <c r="D157" s="26">
        <f>IF(IF(C156="", "", Table1[[#This Row],[DATE]]-C156-1) &lt; 0, 0, IF(C156="", "", Table1[[#This Row],[DATE]]-C156-1))</f>
        <v>0</v>
      </c>
      <c r="E157" s="19" t="str">
        <f>TEXT(Table1[[#This Row],[DATE]],"yyyy-mm")</f>
        <v>2025-01</v>
      </c>
      <c r="F157" s="24"/>
      <c r="G157" s="28"/>
    </row>
    <row r="158" spans="1:7" x14ac:dyDescent="0.25">
      <c r="A158" s="22" t="s">
        <v>173</v>
      </c>
      <c r="B158" s="22" t="s">
        <v>185</v>
      </c>
      <c r="C158" s="21">
        <v>45661</v>
      </c>
      <c r="D158" s="26">
        <f>IF(IF(C157="", "", Table1[[#This Row],[DATE]]-C157-1) &lt; 0, 0, IF(C157="", "", Table1[[#This Row],[DATE]]-C157-1))</f>
        <v>0</v>
      </c>
      <c r="E158" s="19" t="str">
        <f>TEXT(Table1[[#This Row],[DATE]],"yyyy-mm")</f>
        <v>2025-01</v>
      </c>
      <c r="F158" s="24" t="s">
        <v>221</v>
      </c>
      <c r="G158" s="28"/>
    </row>
    <row r="159" spans="1:7" x14ac:dyDescent="0.25">
      <c r="A159" s="22" t="s">
        <v>173</v>
      </c>
      <c r="B159" s="22" t="s">
        <v>171</v>
      </c>
      <c r="C159" s="21">
        <v>45662</v>
      </c>
      <c r="D159" s="26">
        <f>IF(IF(C158="", "", Table1[[#This Row],[DATE]]-C158-1) &lt; 0, 0, IF(C158="", "", Table1[[#This Row],[DATE]]-C158-1))</f>
        <v>0</v>
      </c>
      <c r="E159" s="19" t="str">
        <f>TEXT(Table1[[#This Row],[DATE]],"yyyy-mm")</f>
        <v>2025-01</v>
      </c>
      <c r="F159" s="24"/>
      <c r="G159" s="28"/>
    </row>
    <row r="160" spans="1:7" x14ac:dyDescent="0.25">
      <c r="A160" s="22" t="s">
        <v>173</v>
      </c>
      <c r="B160" s="22" t="s">
        <v>185</v>
      </c>
      <c r="C160" s="21">
        <v>45662</v>
      </c>
      <c r="D160" s="26">
        <f>IF(IF(C159="", "", Table1[[#This Row],[DATE]]-C159-1) &lt; 0, 0, IF(C159="", "", Table1[[#This Row],[DATE]]-C159-1))</f>
        <v>0</v>
      </c>
      <c r="E160" s="19" t="str">
        <f>TEXT(Table1[[#This Row],[DATE]],"yyyy-mm")</f>
        <v>2025-01</v>
      </c>
      <c r="F160" s="24" t="s">
        <v>221</v>
      </c>
      <c r="G160" s="28"/>
    </row>
    <row r="161" spans="1:7" x14ac:dyDescent="0.25">
      <c r="A161" s="22" t="s">
        <v>173</v>
      </c>
      <c r="B161" s="22" t="s">
        <v>224</v>
      </c>
      <c r="C161" s="21">
        <v>45662</v>
      </c>
      <c r="D161" s="26">
        <f>IF(IF(C160="", "", Table1[[#This Row],[DATE]]-C160-1) &lt; 0, 0, IF(C160="", "", Table1[[#This Row],[DATE]]-C160-1))</f>
        <v>0</v>
      </c>
      <c r="E161" s="19" t="str">
        <f>TEXT(Table1[[#This Row],[DATE]],"yyyy-mm")</f>
        <v>2025-01</v>
      </c>
      <c r="F161" s="24" t="s">
        <v>225</v>
      </c>
      <c r="G161" s="28"/>
    </row>
    <row r="162" spans="1:7" x14ac:dyDescent="0.25">
      <c r="A162" s="22" t="s">
        <v>173</v>
      </c>
      <c r="B162" s="22" t="s">
        <v>172</v>
      </c>
      <c r="C162" s="21">
        <v>45664</v>
      </c>
      <c r="D162" s="26">
        <f>IF(IF(C161="", "", Table1[[#This Row],[DATE]]-C161-1) &lt; 0, 0, IF(C161="", "", Table1[[#This Row],[DATE]]-C161-1))</f>
        <v>1</v>
      </c>
      <c r="E162" s="19" t="str">
        <f>TEXT(Table1[[#This Row],[DATE]],"yyyy-mm")</f>
        <v>2025-01</v>
      </c>
      <c r="F162" s="24"/>
      <c r="G162" s="28"/>
    </row>
    <row r="163" spans="1:7" x14ac:dyDescent="0.25">
      <c r="A163" s="22" t="s">
        <v>173</v>
      </c>
      <c r="B163" s="22" t="s">
        <v>185</v>
      </c>
      <c r="C163" s="21">
        <v>45664</v>
      </c>
      <c r="D163" s="26">
        <f>IF(IF(C162="", "", Table1[[#This Row],[DATE]]-C162-1) &lt; 0, 0, IF(C162="", "", Table1[[#This Row],[DATE]]-C162-1))</f>
        <v>0</v>
      </c>
      <c r="E163" s="19" t="str">
        <f>TEXT(Table1[[#This Row],[DATE]],"yyyy-mm")</f>
        <v>2025-01</v>
      </c>
      <c r="F163" s="24" t="s">
        <v>221</v>
      </c>
      <c r="G163" s="28"/>
    </row>
    <row r="164" spans="1:7" x14ac:dyDescent="0.25">
      <c r="A164" s="22" t="s">
        <v>173</v>
      </c>
      <c r="B164" s="22" t="s">
        <v>181</v>
      </c>
      <c r="C164" s="21">
        <v>45665</v>
      </c>
      <c r="D164" s="26">
        <f>IF(IF(C163="", "", Table1[[#This Row],[DATE]]-C163-1) &lt; 0, 0, IF(C163="", "", Table1[[#This Row],[DATE]]-C163-1))</f>
        <v>0</v>
      </c>
      <c r="E164" s="19" t="str">
        <f>TEXT(Table1[[#This Row],[DATE]],"yyyy-mm")</f>
        <v>2025-01</v>
      </c>
      <c r="F164" s="24"/>
      <c r="G164" s="28"/>
    </row>
    <row r="165" spans="1:7" x14ac:dyDescent="0.25">
      <c r="A165" s="22" t="s">
        <v>173</v>
      </c>
      <c r="B165" s="22" t="s">
        <v>185</v>
      </c>
      <c r="C165" s="21">
        <v>45665</v>
      </c>
      <c r="D165" s="26">
        <f>IF(IF(C164="", "", Table1[[#This Row],[DATE]]-C164-1) &lt; 0, 0, IF(C164="", "", Table1[[#This Row],[DATE]]-C164-1))</f>
        <v>0</v>
      </c>
      <c r="E165" s="19" t="str">
        <f>TEXT(Table1[[#This Row],[DATE]],"yyyy-mm")</f>
        <v>2025-01</v>
      </c>
      <c r="F165" s="24" t="s">
        <v>220</v>
      </c>
      <c r="G165" s="28"/>
    </row>
    <row r="166" spans="1:7" x14ac:dyDescent="0.25">
      <c r="A166" s="22" t="s">
        <v>173</v>
      </c>
      <c r="B166" s="22" t="s">
        <v>169</v>
      </c>
      <c r="C166" s="21">
        <v>45666</v>
      </c>
      <c r="D166" s="26">
        <f>IF(IF(C165="", "", Table1[[#This Row],[DATE]]-C165-1) &lt; 0, 0, IF(C165="", "", Table1[[#This Row],[DATE]]-C165-1))</f>
        <v>0</v>
      </c>
      <c r="E166" s="19" t="str">
        <f>TEXT(Table1[[#This Row],[DATE]],"yyyy-mm")</f>
        <v>2025-01</v>
      </c>
      <c r="F166" s="24"/>
      <c r="G166" s="28"/>
    </row>
    <row r="167" spans="1:7" x14ac:dyDescent="0.25">
      <c r="A167" s="22" t="s">
        <v>173</v>
      </c>
      <c r="B167" s="22" t="s">
        <v>185</v>
      </c>
      <c r="C167" s="21">
        <v>45666</v>
      </c>
      <c r="D167" s="26">
        <f>IF(IF(C166="", "", Table1[[#This Row],[DATE]]-C166-1) &lt; 0, 0, IF(C166="", "", Table1[[#This Row],[DATE]]-C166-1))</f>
        <v>0</v>
      </c>
      <c r="E167" s="19" t="str">
        <f>TEXT(Table1[[#This Row],[DATE]],"yyyy-mm")</f>
        <v>2025-01</v>
      </c>
      <c r="F167" s="24" t="s">
        <v>220</v>
      </c>
      <c r="G167" s="28"/>
    </row>
    <row r="168" spans="1:7" x14ac:dyDescent="0.25">
      <c r="A168" s="22" t="s">
        <v>173</v>
      </c>
      <c r="B168" s="22" t="s">
        <v>169</v>
      </c>
      <c r="C168" s="21">
        <v>45694</v>
      </c>
      <c r="D168" s="26">
        <f>IF(IF(C167="", "", Table1[[#This Row],[DATE]]-C167-1) &lt; 0, 0, IF(C167="", "", Table1[[#This Row],[DATE]]-C167-1))</f>
        <v>27</v>
      </c>
      <c r="E168" s="19" t="str">
        <f>TEXT(Table1[[#This Row],[DATE]],"yyyy-mm")</f>
        <v>2025-02</v>
      </c>
      <c r="F168" s="24" t="s">
        <v>226</v>
      </c>
      <c r="G168" s="28"/>
    </row>
    <row r="169" spans="1:7" x14ac:dyDescent="0.25">
      <c r="A169" s="22" t="s">
        <v>173</v>
      </c>
      <c r="B169" s="22" t="s">
        <v>185</v>
      </c>
      <c r="C169" s="21">
        <v>45694</v>
      </c>
      <c r="D169" s="26">
        <f>IF(IF(C168="", "", Table1[[#This Row],[DATE]]-C168-1) &lt; 0, 0, IF(C168="", "", Table1[[#This Row],[DATE]]-C168-1))</f>
        <v>0</v>
      </c>
      <c r="E169" s="19" t="str">
        <f>TEXT(Table1[[#This Row],[DATE]],"yyyy-mm")</f>
        <v>2025-02</v>
      </c>
      <c r="F169" s="24" t="s">
        <v>221</v>
      </c>
      <c r="G169" s="28"/>
    </row>
    <row r="170" spans="1:7" x14ac:dyDescent="0.25">
      <c r="A170" s="22" t="s">
        <v>173</v>
      </c>
      <c r="B170" s="22" t="s">
        <v>170</v>
      </c>
      <c r="C170" s="21">
        <v>45695</v>
      </c>
      <c r="D170" s="26">
        <f>IF(IF(C169="", "", Table1[[#This Row],[DATE]]-C169-1) &lt; 0, 0, IF(C169="", "", Table1[[#This Row],[DATE]]-C169-1))</f>
        <v>0</v>
      </c>
      <c r="E170" s="19" t="str">
        <f>TEXT(Table1[[#This Row],[DATE]],"yyyy-mm")</f>
        <v>2025-02</v>
      </c>
      <c r="F170" s="24"/>
      <c r="G170" s="28"/>
    </row>
    <row r="171" spans="1:7" x14ac:dyDescent="0.25">
      <c r="A171" s="22" t="s">
        <v>173</v>
      </c>
      <c r="B171" s="22" t="s">
        <v>185</v>
      </c>
      <c r="C171" s="21">
        <v>45695</v>
      </c>
      <c r="D171" s="26">
        <f>IF(IF(C170="", "", Table1[[#This Row],[DATE]]-C170-1) &lt; 0, 0, IF(C170="", "", Table1[[#This Row],[DATE]]-C170-1))</f>
        <v>0</v>
      </c>
      <c r="E171" s="19" t="str">
        <f>TEXT(Table1[[#This Row],[DATE]],"yyyy-mm")</f>
        <v>2025-02</v>
      </c>
      <c r="F171" s="24"/>
      <c r="G171" s="28"/>
    </row>
    <row r="172" spans="1:7" x14ac:dyDescent="0.25">
      <c r="A172" s="22" t="s">
        <v>173</v>
      </c>
      <c r="B172" s="22" t="s">
        <v>171</v>
      </c>
      <c r="C172" s="21">
        <v>45698</v>
      </c>
      <c r="D172" s="26">
        <f>IF(IF(C171="", "", Table1[[#This Row],[DATE]]-C171-1) &lt; 0, 0, IF(C171="", "", Table1[[#This Row],[DATE]]-C171-1))</f>
        <v>2</v>
      </c>
      <c r="E172" s="19" t="str">
        <f>TEXT(Table1[[#This Row],[DATE]],"yyyy-mm")</f>
        <v>2025-02</v>
      </c>
      <c r="F172" s="24"/>
      <c r="G172" s="28"/>
    </row>
    <row r="173" spans="1:7" x14ac:dyDescent="0.25">
      <c r="A173" s="22" t="s">
        <v>173</v>
      </c>
      <c r="B173" s="22" t="s">
        <v>185</v>
      </c>
      <c r="C173" s="21">
        <v>45698</v>
      </c>
      <c r="D173" s="26">
        <f>IF(IF(C172="", "", Table1[[#This Row],[DATE]]-C172-1) &lt; 0, 0, IF(C172="", "", Table1[[#This Row],[DATE]]-C172-1))</f>
        <v>0</v>
      </c>
      <c r="E173" s="19" t="str">
        <f>TEXT(Table1[[#This Row],[DATE]],"yyyy-mm")</f>
        <v>2025-02</v>
      </c>
      <c r="F173" s="24" t="s">
        <v>221</v>
      </c>
      <c r="G173" s="28"/>
    </row>
    <row r="174" spans="1:7" x14ac:dyDescent="0.25">
      <c r="A174" s="22" t="s">
        <v>173</v>
      </c>
      <c r="B174" s="22" t="s">
        <v>169</v>
      </c>
      <c r="C174" s="21">
        <v>45712</v>
      </c>
      <c r="D174" s="26">
        <f>IF(IF(C173="", "", Table1[[#This Row],[DATE]]-C173-1) &lt; 0, 0, IF(C173="", "", Table1[[#This Row],[DATE]]-C173-1))</f>
        <v>13</v>
      </c>
      <c r="E174" s="19" t="str">
        <f>TEXT(Table1[[#This Row],[DATE]],"yyyy-mm")</f>
        <v>2025-02</v>
      </c>
      <c r="F174" s="24" t="s">
        <v>228</v>
      </c>
      <c r="G174" s="28"/>
    </row>
    <row r="175" spans="1:7" x14ac:dyDescent="0.25">
      <c r="A175" s="22" t="s">
        <v>173</v>
      </c>
      <c r="B175" s="22" t="s">
        <v>185</v>
      </c>
      <c r="C175" s="21">
        <v>45712</v>
      </c>
      <c r="D175" s="26">
        <f>IF(IF(C174="", "", Table1[[#This Row],[DATE]]-C174-1) &lt; 0, 0, IF(C174="", "", Table1[[#This Row],[DATE]]-C174-1))</f>
        <v>0</v>
      </c>
      <c r="E175" s="19" t="str">
        <f>TEXT(Table1[[#This Row],[DATE]],"yyyy-mm")</f>
        <v>2025-02</v>
      </c>
      <c r="F175" s="24"/>
      <c r="G175" s="28"/>
    </row>
    <row r="176" spans="1:7" x14ac:dyDescent="0.25">
      <c r="A176" s="22" t="s">
        <v>173</v>
      </c>
      <c r="B176" s="22" t="s">
        <v>170</v>
      </c>
      <c r="C176" s="21">
        <v>45713</v>
      </c>
      <c r="D176" s="26">
        <f>IF(IF(C175="", "", Table1[[#This Row],[DATE]]-C175-1) &lt; 0, 0, IF(C175="", "", Table1[[#This Row],[DATE]]-C175-1))</f>
        <v>0</v>
      </c>
      <c r="E176" s="19" t="str">
        <f>TEXT(Table1[[#This Row],[DATE]],"yyyy-mm")</f>
        <v>2025-02</v>
      </c>
      <c r="F176" s="24"/>
      <c r="G176" s="28"/>
    </row>
    <row r="177" spans="1:7" x14ac:dyDescent="0.25">
      <c r="A177" s="22" t="s">
        <v>173</v>
      </c>
      <c r="B177" s="22" t="s">
        <v>185</v>
      </c>
      <c r="C177" s="21">
        <v>45713</v>
      </c>
      <c r="D177" s="26">
        <f>IF(IF(C176="", "", Table1[[#This Row],[DATE]]-C176-1) &lt; 0, 0, IF(C176="", "", Table1[[#This Row],[DATE]]-C176-1))</f>
        <v>0</v>
      </c>
      <c r="E177" s="19" t="str">
        <f>TEXT(Table1[[#This Row],[DATE]],"yyyy-mm")</f>
        <v>2025-02</v>
      </c>
      <c r="F177" s="24"/>
      <c r="G177" s="28"/>
    </row>
    <row r="178" spans="1:7" x14ac:dyDescent="0.25">
      <c r="A178" s="22" t="s">
        <v>173</v>
      </c>
      <c r="B178" s="22" t="s">
        <v>171</v>
      </c>
      <c r="C178" s="21">
        <v>45715</v>
      </c>
      <c r="D178" s="26">
        <f>IF(IF(C177="", "", Table1[[#This Row],[DATE]]-C177-1) &lt; 0, 0, IF(C177="", "", Table1[[#This Row],[DATE]]-C177-1))</f>
        <v>1</v>
      </c>
      <c r="E178" s="19" t="str">
        <f>TEXT(Table1[[#This Row],[DATE]],"yyyy-mm")</f>
        <v>2025-02</v>
      </c>
      <c r="F178" s="24"/>
      <c r="G178" s="28"/>
    </row>
    <row r="179" spans="1:7" x14ac:dyDescent="0.25">
      <c r="A179" s="22" t="s">
        <v>173</v>
      </c>
      <c r="B179" s="22" t="s">
        <v>185</v>
      </c>
      <c r="C179" s="21">
        <v>45715</v>
      </c>
      <c r="D179" s="26">
        <f>IF(IF(C178="", "", Table1[[#This Row],[DATE]]-C178-1) &lt; 0, 0, IF(C178="", "", Table1[[#This Row],[DATE]]-C178-1))</f>
        <v>0</v>
      </c>
      <c r="E179" s="19" t="str">
        <f>TEXT(Table1[[#This Row],[DATE]],"yyyy-mm")</f>
        <v>2025-02</v>
      </c>
      <c r="F179" s="24"/>
      <c r="G179" s="28"/>
    </row>
    <row r="180" spans="1:7" x14ac:dyDescent="0.25">
      <c r="A180" s="22" t="s">
        <v>173</v>
      </c>
      <c r="B180" s="22" t="s">
        <v>172</v>
      </c>
      <c r="C180" s="21">
        <v>45719</v>
      </c>
      <c r="D180" s="26">
        <f>IF(IF(C179="", "", Table1[[#This Row],[DATE]]-C179-1) &lt; 0, 0, IF(C179="", "", Table1[[#This Row],[DATE]]-C179-1))</f>
        <v>3</v>
      </c>
      <c r="E180" s="19" t="str">
        <f>TEXT(Table1[[#This Row],[DATE]],"yyyy-mm")</f>
        <v>2025-03</v>
      </c>
      <c r="F180" s="24"/>
      <c r="G180" s="28"/>
    </row>
    <row r="181" spans="1:7" x14ac:dyDescent="0.25">
      <c r="A181" s="22" t="s">
        <v>173</v>
      </c>
      <c r="B181" s="22" t="s">
        <v>181</v>
      </c>
      <c r="C181" s="21">
        <v>45719</v>
      </c>
      <c r="D181" s="26">
        <f>IF(IF(C180="", "", Table1[[#This Row],[DATE]]-C180-1) &lt; 0, 0, IF(C180="", "", Table1[[#This Row],[DATE]]-C180-1))</f>
        <v>0</v>
      </c>
      <c r="E181" s="19" t="str">
        <f>TEXT(Table1[[#This Row],[DATE]],"yyyy-mm")</f>
        <v>2025-03</v>
      </c>
      <c r="F181" s="24"/>
      <c r="G181" s="28"/>
    </row>
    <row r="182" spans="1:7" x14ac:dyDescent="0.25">
      <c r="A182" s="22" t="s">
        <v>173</v>
      </c>
      <c r="B182" s="22" t="s">
        <v>185</v>
      </c>
      <c r="C182" s="21">
        <v>45719</v>
      </c>
      <c r="D182" s="26">
        <f>IF(IF(C180="", "", Table1[[#This Row],[DATE]]-C180-1) &lt; 0, 0, IF(C180="", "", Table1[[#This Row],[DATE]]-C180-1))</f>
        <v>0</v>
      </c>
      <c r="E182" s="19" t="str">
        <f>TEXT(Table1[[#This Row],[DATE]],"yyyy-mm")</f>
        <v>2025-03</v>
      </c>
      <c r="F182" s="24"/>
      <c r="G182" s="28"/>
    </row>
    <row r="183" spans="1:7" x14ac:dyDescent="0.25">
      <c r="A183" s="22" t="s">
        <v>173</v>
      </c>
      <c r="B183" s="22" t="s">
        <v>169</v>
      </c>
      <c r="C183" s="21">
        <v>45720</v>
      </c>
      <c r="D183" s="26">
        <f>IF(IF(C182="", "", Table1[[#This Row],[DATE]]-C182-1) &lt; 0, 0, IF(C182="", "", Table1[[#This Row],[DATE]]-C182-1))</f>
        <v>0</v>
      </c>
      <c r="E183" s="19" t="str">
        <f>TEXT(Table1[[#This Row],[DATE]],"yyyy-mm")</f>
        <v>2025-03</v>
      </c>
      <c r="F183" s="24"/>
      <c r="G183" s="28"/>
    </row>
    <row r="184" spans="1:7" x14ac:dyDescent="0.25">
      <c r="A184" s="22" t="s">
        <v>173</v>
      </c>
      <c r="B184" s="22" t="s">
        <v>185</v>
      </c>
      <c r="C184" s="21">
        <v>45720</v>
      </c>
      <c r="D184" s="26">
        <f>IF(IF(C183="", "", Table1[[#This Row],[DATE]]-C183-1) &lt; 0, 0, IF(C183="", "", Table1[[#This Row],[DATE]]-C183-1))</f>
        <v>0</v>
      </c>
      <c r="E184" s="19" t="str">
        <f>TEXT(Table1[[#This Row],[DATE]],"yyyy-mm")</f>
        <v>2025-03</v>
      </c>
      <c r="F184" s="24"/>
      <c r="G184" s="28"/>
    </row>
    <row r="185" spans="1:7" x14ac:dyDescent="0.25">
      <c r="A185" s="22" t="s">
        <v>173</v>
      </c>
      <c r="B185" s="22" t="s">
        <v>170</v>
      </c>
      <c r="C185" s="21">
        <v>45721</v>
      </c>
      <c r="D185" s="26">
        <f>IF(IF(C184="", "", Table1[[#This Row],[DATE]]-C184-1) &lt; 0, 0, IF(C184="", "", Table1[[#This Row],[DATE]]-C184-1))</f>
        <v>0</v>
      </c>
      <c r="E185" s="19" t="str">
        <f>TEXT(Table1[[#This Row],[DATE]],"yyyy-mm")</f>
        <v>2025-03</v>
      </c>
      <c r="F185" s="24"/>
      <c r="G185" s="28"/>
    </row>
    <row r="186" spans="1:7" x14ac:dyDescent="0.25">
      <c r="A186" s="22" t="s">
        <v>173</v>
      </c>
      <c r="B186" s="22" t="s">
        <v>185</v>
      </c>
      <c r="C186" s="21">
        <v>45721</v>
      </c>
      <c r="D186" s="26">
        <f>IF(IF(C185="", "", Table1[[#This Row],[DATE]]-C185-1) &lt; 0, 0, IF(C185="", "", Table1[[#This Row],[DATE]]-C185-1))</f>
        <v>0</v>
      </c>
      <c r="E186" s="19" t="str">
        <f>TEXT(Table1[[#This Row],[DATE]],"yyyy-mm")</f>
        <v>2025-03</v>
      </c>
      <c r="F186" s="24"/>
      <c r="G186" s="28"/>
    </row>
    <row r="187" spans="1:7" x14ac:dyDescent="0.25">
      <c r="A187" s="22" t="s">
        <v>173</v>
      </c>
      <c r="B187" s="22" t="s">
        <v>171</v>
      </c>
      <c r="C187" s="21">
        <v>45722</v>
      </c>
      <c r="D187" s="26">
        <f>IF(IF(C186="", "", Table1[[#This Row],[DATE]]-C186-1) &lt; 0, 0, IF(C186="", "", Table1[[#This Row],[DATE]]-C186-1))</f>
        <v>0</v>
      </c>
      <c r="E187" s="19" t="str">
        <f>TEXT(Table1[[#This Row],[DATE]],"yyyy-mm")</f>
        <v>2025-03</v>
      </c>
      <c r="F187" s="24"/>
      <c r="G187" s="28"/>
    </row>
    <row r="188" spans="1:7" x14ac:dyDescent="0.25">
      <c r="A188" s="22" t="s">
        <v>173</v>
      </c>
      <c r="B188" s="22" t="s">
        <v>185</v>
      </c>
      <c r="C188" s="21">
        <v>45722</v>
      </c>
      <c r="D188" s="26">
        <f>IF(IF(C187="", "", Table1[[#This Row],[DATE]]-C187-1) &lt; 0, 0, IF(C187="", "", Table1[[#This Row],[DATE]]-C187-1))</f>
        <v>0</v>
      </c>
      <c r="E188" s="19" t="str">
        <f>TEXT(Table1[[#This Row],[DATE]],"yyyy-mm")</f>
        <v>2025-03</v>
      </c>
      <c r="F188" s="24"/>
      <c r="G188" s="28"/>
    </row>
    <row r="189" spans="1:7" x14ac:dyDescent="0.25">
      <c r="A189" s="22" t="s">
        <v>173</v>
      </c>
      <c r="B189" s="22" t="s">
        <v>172</v>
      </c>
      <c r="C189" s="21">
        <v>45724</v>
      </c>
      <c r="D189" s="26">
        <f>IF(IF(C188="", "", Table1[[#This Row],[DATE]]-C188-1) &lt; 0, 0, IF(C188="", "", Table1[[#This Row],[DATE]]-C188-1))</f>
        <v>1</v>
      </c>
      <c r="E189" s="19" t="str">
        <f>TEXT(Table1[[#This Row],[DATE]],"yyyy-mm")</f>
        <v>2025-03</v>
      </c>
      <c r="F189" s="24"/>
      <c r="G189" s="28"/>
    </row>
    <row r="190" spans="1:7" x14ac:dyDescent="0.25">
      <c r="A190" s="22" t="s">
        <v>173</v>
      </c>
      <c r="B190" s="22" t="s">
        <v>185</v>
      </c>
      <c r="C190" s="21">
        <v>45724</v>
      </c>
      <c r="D190" s="26">
        <f>IF(IF(C189="", "", Table1[[#This Row],[DATE]]-C189-1) &lt; 0, 0, IF(C189="", "", Table1[[#This Row],[DATE]]-C189-1))</f>
        <v>0</v>
      </c>
      <c r="E190" s="19" t="str">
        <f>TEXT(Table1[[#This Row],[DATE]],"yyyy-mm")</f>
        <v>2025-03</v>
      </c>
      <c r="F190" s="24"/>
      <c r="G190" s="28"/>
    </row>
    <row r="191" spans="1:7" x14ac:dyDescent="0.25">
      <c r="A191" s="22" t="s">
        <v>173</v>
      </c>
      <c r="B191" s="22" t="s">
        <v>169</v>
      </c>
      <c r="C191" s="21">
        <v>45727</v>
      </c>
      <c r="D191" s="26">
        <f>IF(IF(C190="", "", Table1[[#This Row],[DATE]]-C190-1) &lt; 0, 0, IF(C190="", "", Table1[[#This Row],[DATE]]-C190-1))</f>
        <v>2</v>
      </c>
      <c r="E191" s="19" t="str">
        <f>TEXT(Table1[[#This Row],[DATE]],"yyyy-mm")</f>
        <v>2025-03</v>
      </c>
      <c r="F191" s="24"/>
      <c r="G191" s="28"/>
    </row>
    <row r="192" spans="1:7" x14ac:dyDescent="0.25">
      <c r="A192" s="22" t="s">
        <v>173</v>
      </c>
      <c r="B192" s="22" t="s">
        <v>185</v>
      </c>
      <c r="C192" s="21">
        <v>45727</v>
      </c>
      <c r="D192" s="26">
        <f>IF(IF(C191="", "", Table1[[#This Row],[DATE]]-C191-1) &lt; 0, 0, IF(C191="", "", Table1[[#This Row],[DATE]]-C191-1))</f>
        <v>0</v>
      </c>
      <c r="E192" s="19" t="str">
        <f>TEXT(Table1[[#This Row],[DATE]],"yyyy-mm")</f>
        <v>2025-03</v>
      </c>
      <c r="F192" s="24"/>
      <c r="G192" s="28"/>
    </row>
    <row r="193" spans="1:7" x14ac:dyDescent="0.25">
      <c r="A193" s="22" t="s">
        <v>173</v>
      </c>
      <c r="B193" s="22" t="s">
        <v>170</v>
      </c>
      <c r="C193" s="21">
        <v>45728</v>
      </c>
      <c r="D193" s="26">
        <f>IF(IF(C192="", "", Table1[[#This Row],[DATE]]-C192-1) &lt; 0, 0, IF(C192="", "", Table1[[#This Row],[DATE]]-C192-1))</f>
        <v>0</v>
      </c>
      <c r="E193" s="19" t="str">
        <f>TEXT(Table1[[#This Row],[DATE]],"yyyy-mm")</f>
        <v>2025-03</v>
      </c>
      <c r="F193" s="24"/>
      <c r="G193" s="28"/>
    </row>
    <row r="194" spans="1:7" x14ac:dyDescent="0.25">
      <c r="A194" s="22" t="s">
        <v>173</v>
      </c>
      <c r="B194" s="22" t="s">
        <v>185</v>
      </c>
      <c r="C194" s="21">
        <v>45728</v>
      </c>
      <c r="D194" s="26">
        <f>IF(IF(C193="", "", Table1[[#This Row],[DATE]]-C193-1) &lt; 0, 0, IF(C193="", "", Table1[[#This Row],[DATE]]-C193-1))</f>
        <v>0</v>
      </c>
      <c r="E194" s="19" t="str">
        <f>TEXT(Table1[[#This Row],[DATE]],"yyyy-mm")</f>
        <v>2025-03</v>
      </c>
      <c r="F194" s="24"/>
      <c r="G194" s="28"/>
    </row>
    <row r="195" spans="1:7" x14ac:dyDescent="0.25">
      <c r="A195" s="22" t="s">
        <v>173</v>
      </c>
      <c r="B195" s="22" t="s">
        <v>171</v>
      </c>
      <c r="C195" s="21">
        <v>45730</v>
      </c>
      <c r="D195" s="26">
        <f>IF(IF(C194="", "", Table1[[#This Row],[DATE]]-C194-1) &lt; 0, 0, IF(C194="", "", Table1[[#This Row],[DATE]]-C194-1))</f>
        <v>1</v>
      </c>
      <c r="E195" s="19" t="str">
        <f>TEXT(Table1[[#This Row],[DATE]],"yyyy-mm")</f>
        <v>2025-03</v>
      </c>
      <c r="F195" s="24"/>
      <c r="G195" s="28"/>
    </row>
    <row r="196" spans="1:7" x14ac:dyDescent="0.25">
      <c r="A196" s="22" t="s">
        <v>173</v>
      </c>
      <c r="B196" s="22" t="s">
        <v>185</v>
      </c>
      <c r="C196" s="21">
        <v>45730</v>
      </c>
      <c r="D196" s="26">
        <f>IF(IF(C195="", "", Table1[[#This Row],[DATE]]-C195-1) &lt; 0, 0, IF(C195="", "", Table1[[#This Row],[DATE]]-C195-1))</f>
        <v>0</v>
      </c>
      <c r="E196" s="19" t="str">
        <f>TEXT(Table1[[#This Row],[DATE]],"yyyy-mm")</f>
        <v>2025-03</v>
      </c>
      <c r="F196" s="24"/>
      <c r="G196" s="28"/>
    </row>
    <row r="197" spans="1:7" x14ac:dyDescent="0.25">
      <c r="A197" s="22" t="s">
        <v>173</v>
      </c>
      <c r="B197" s="22" t="s">
        <v>172</v>
      </c>
      <c r="C197" s="21">
        <v>45731</v>
      </c>
      <c r="D197" s="26">
        <f>IF(IF(C196="", "", Table1[[#This Row],[DATE]]-C196-1) &lt; 0, 0, IF(C196="", "", Table1[[#This Row],[DATE]]-C196-1))</f>
        <v>0</v>
      </c>
      <c r="E197" s="19" t="str">
        <f>TEXT(Table1[[#This Row],[DATE]],"yyyy-mm")</f>
        <v>2025-03</v>
      </c>
      <c r="F197" s="24"/>
      <c r="G197" s="28"/>
    </row>
    <row r="198" spans="1:7" x14ac:dyDescent="0.25">
      <c r="A198" s="22" t="s">
        <v>173</v>
      </c>
      <c r="B198" s="22" t="s">
        <v>185</v>
      </c>
      <c r="C198" s="21">
        <v>45731</v>
      </c>
      <c r="D198" s="26">
        <f>IF(IF(C197="", "", Table1[[#This Row],[DATE]]-C197-1) &lt; 0, 0, IF(C197="", "", Table1[[#This Row],[DATE]]-C197-1))</f>
        <v>0</v>
      </c>
      <c r="E198" s="19" t="str">
        <f>TEXT(Table1[[#This Row],[DATE]],"yyyy-mm")</f>
        <v>2025-03</v>
      </c>
      <c r="F198" s="24"/>
      <c r="G198" s="28"/>
    </row>
    <row r="199" spans="1:7" x14ac:dyDescent="0.25">
      <c r="A199" s="22" t="s">
        <v>173</v>
      </c>
      <c r="B199" s="22" t="s">
        <v>181</v>
      </c>
      <c r="C199" s="21">
        <v>45732</v>
      </c>
      <c r="D199" s="26">
        <f>IF(IF(C198="", "", Table1[[#This Row],[DATE]]-C198-1) &lt; 0, 0, IF(C198="", "", Table1[[#This Row],[DATE]]-C198-1))</f>
        <v>0</v>
      </c>
      <c r="E199" s="19" t="str">
        <f>TEXT(Table1[[#This Row],[DATE]],"yyyy-mm")</f>
        <v>2025-03</v>
      </c>
      <c r="F199" s="24"/>
      <c r="G199" s="28"/>
    </row>
    <row r="200" spans="1:7" x14ac:dyDescent="0.25">
      <c r="A200" s="22" t="s">
        <v>173</v>
      </c>
      <c r="B200" s="22" t="s">
        <v>185</v>
      </c>
      <c r="C200" s="21">
        <v>45732</v>
      </c>
      <c r="D200" s="26">
        <f>IF(IF(C199="", "", Table1[[#This Row],[DATE]]-C199-1) &lt; 0, 0, IF(C199="", "", Table1[[#This Row],[DATE]]-C199-1))</f>
        <v>0</v>
      </c>
      <c r="E200" s="19" t="str">
        <f>TEXT(Table1[[#This Row],[DATE]],"yyyy-mm")</f>
        <v>2025-03</v>
      </c>
      <c r="F200" s="24"/>
      <c r="G200" s="28"/>
    </row>
    <row r="201" spans="1:7" x14ac:dyDescent="0.25">
      <c r="A201" s="22" t="s">
        <v>173</v>
      </c>
      <c r="B201" s="22" t="s">
        <v>169</v>
      </c>
      <c r="C201" s="21">
        <v>45735</v>
      </c>
      <c r="D201" s="26">
        <f>IF(IF(C200="", "", Table1[[#This Row],[DATE]]-C200-1) &lt; 0, 0, IF(C200="", "", Table1[[#This Row],[DATE]]-C200-1))</f>
        <v>2</v>
      </c>
      <c r="E201" s="19" t="str">
        <f>TEXT(Table1[[#This Row],[DATE]],"yyyy-mm")</f>
        <v>2025-03</v>
      </c>
      <c r="F201" s="24"/>
      <c r="G201" s="28"/>
    </row>
    <row r="202" spans="1:7" x14ac:dyDescent="0.25">
      <c r="A202" s="22" t="s">
        <v>173</v>
      </c>
      <c r="B202" s="22" t="s">
        <v>185</v>
      </c>
      <c r="C202" s="21">
        <v>45735</v>
      </c>
      <c r="D202" s="26">
        <f>IF(IF(C201="", "", Table1[[#This Row],[DATE]]-C201-1) &lt; 0, 0, IF(C201="", "", Table1[[#This Row],[DATE]]-C201-1))</f>
        <v>0</v>
      </c>
      <c r="E202" s="19" t="str">
        <f>TEXT(Table1[[#This Row],[DATE]],"yyyy-mm")</f>
        <v>2025-03</v>
      </c>
      <c r="F202" s="24"/>
      <c r="G202" s="28"/>
    </row>
    <row r="203" spans="1:7" x14ac:dyDescent="0.25">
      <c r="A203" s="22" t="s">
        <v>173</v>
      </c>
      <c r="B203" s="22" t="s">
        <v>170</v>
      </c>
      <c r="C203" s="21">
        <v>45736</v>
      </c>
      <c r="D203" s="26">
        <f>IF(IF(C202="", "", Table1[[#This Row],[DATE]]-C202-1) &lt; 0, 0, IF(C202="", "", Table1[[#This Row],[DATE]]-C202-1))</f>
        <v>0</v>
      </c>
      <c r="E203" s="19" t="str">
        <f>TEXT(Table1[[#This Row],[DATE]],"yyyy-mm")</f>
        <v>2025-03</v>
      </c>
      <c r="F203" s="24"/>
      <c r="G203" s="28"/>
    </row>
    <row r="204" spans="1:7" x14ac:dyDescent="0.25">
      <c r="A204" s="22" t="s">
        <v>173</v>
      </c>
      <c r="B204" s="22" t="s">
        <v>185</v>
      </c>
      <c r="C204" s="21">
        <v>45736</v>
      </c>
      <c r="D204" s="26">
        <f>IF(IF(C203="", "", Table1[[#This Row],[DATE]]-C203-1) &lt; 0, 0, IF(C203="", "", Table1[[#This Row],[DATE]]-C203-1))</f>
        <v>0</v>
      </c>
      <c r="E204" s="19" t="str">
        <f>TEXT(Table1[[#This Row],[DATE]],"yyyy-mm")</f>
        <v>2025-03</v>
      </c>
      <c r="F204" s="24"/>
      <c r="G204" s="28"/>
    </row>
    <row r="205" spans="1:7" x14ac:dyDescent="0.25">
      <c r="A205" s="22" t="s">
        <v>173</v>
      </c>
      <c r="B205" s="22" t="s">
        <v>171</v>
      </c>
      <c r="C205" s="21">
        <v>45737</v>
      </c>
      <c r="D205" s="26">
        <f>IF(IF(C204="", "", Table1[[#This Row],[DATE]]-C204-1) &lt; 0, 0, IF(C204="", "", Table1[[#This Row],[DATE]]-C204-1))</f>
        <v>0</v>
      </c>
      <c r="E205" s="19" t="str">
        <f>TEXT(Table1[[#This Row],[DATE]],"yyyy-mm")</f>
        <v>2025-03</v>
      </c>
      <c r="F205" s="24"/>
      <c r="G205" s="28"/>
    </row>
    <row r="206" spans="1:7" x14ac:dyDescent="0.25">
      <c r="A206" s="22" t="s">
        <v>173</v>
      </c>
      <c r="B206" s="22" t="s">
        <v>185</v>
      </c>
      <c r="C206" s="21">
        <v>45737</v>
      </c>
      <c r="D206" s="26">
        <f>IF(IF(C205="", "", Table1[[#This Row],[DATE]]-C205-1) &lt; 0, 0, IF(C205="", "", Table1[[#This Row],[DATE]]-C205-1))</f>
        <v>0</v>
      </c>
      <c r="E206" s="19" t="str">
        <f>TEXT(Table1[[#This Row],[DATE]],"yyyy-mm")</f>
        <v>2025-03</v>
      </c>
      <c r="F206" s="24"/>
      <c r="G206" s="28"/>
    </row>
    <row r="207" spans="1:7" x14ac:dyDescent="0.25">
      <c r="A207" s="22" t="s">
        <v>173</v>
      </c>
      <c r="B207" s="22" t="s">
        <v>185</v>
      </c>
      <c r="C207" s="21">
        <v>45738</v>
      </c>
      <c r="D207" s="26">
        <f>IF(IF(C206="", "", Table1[[#This Row],[DATE]]-C206-1) &lt; 0, 0, IF(C206="", "", Table1[[#This Row],[DATE]]-C206-1))</f>
        <v>0</v>
      </c>
      <c r="E207" s="19" t="str">
        <f>TEXT(Table1[[#This Row],[DATE]],"yyyy-mm")</f>
        <v>2025-03</v>
      </c>
      <c r="F207" s="24"/>
      <c r="G207" s="28"/>
    </row>
    <row r="208" spans="1:7" x14ac:dyDescent="0.25">
      <c r="A208" s="22" t="s">
        <v>173</v>
      </c>
      <c r="B208" s="22" t="s">
        <v>185</v>
      </c>
      <c r="C208" s="21">
        <v>45739</v>
      </c>
      <c r="D208" s="26">
        <f>IF(IF(C207="", "", Table1[[#This Row],[DATE]]-C207-1) &lt; 0, 0, IF(C207="", "", Table1[[#This Row],[DATE]]-C207-1))</f>
        <v>0</v>
      </c>
      <c r="E208" s="19" t="str">
        <f>TEXT(Table1[[#This Row],[DATE]],"yyyy-mm")</f>
        <v>2025-03</v>
      </c>
      <c r="F208" s="24"/>
      <c r="G208" s="28"/>
    </row>
    <row r="209" spans="1:7" x14ac:dyDescent="0.25">
      <c r="A209" s="22" t="s">
        <v>173</v>
      </c>
      <c r="B209" s="22" t="s">
        <v>169</v>
      </c>
      <c r="C209" s="21">
        <v>45745</v>
      </c>
      <c r="D209" s="26">
        <f>IF(IF(C208="", "", Table1[[#This Row],[DATE]]-C208-1) &lt; 0, 0, IF(C208="", "", Table1[[#This Row],[DATE]]-C208-1))</f>
        <v>5</v>
      </c>
      <c r="E209" s="19" t="str">
        <f>TEXT(Table1[[#This Row],[DATE]],"yyyy-mm")</f>
        <v>2025-03</v>
      </c>
      <c r="F209" s="24"/>
      <c r="G209" s="28"/>
    </row>
    <row r="210" spans="1:7" x14ac:dyDescent="0.25">
      <c r="A210" s="22" t="s">
        <v>173</v>
      </c>
      <c r="B210" s="22" t="s">
        <v>185</v>
      </c>
      <c r="C210" s="21">
        <v>45745</v>
      </c>
      <c r="D210" s="26">
        <f>IF(IF(C209="", "", Table1[[#This Row],[DATE]]-C209-1) &lt; 0, 0, IF(C209="", "", Table1[[#This Row],[DATE]]-C209-1))</f>
        <v>0</v>
      </c>
      <c r="E210" s="19" t="str">
        <f>TEXT(Table1[[#This Row],[DATE]],"yyyy-mm")</f>
        <v>2025-03</v>
      </c>
      <c r="F210" s="24"/>
      <c r="G210" s="28"/>
    </row>
    <row r="211" spans="1:7" x14ac:dyDescent="0.25">
      <c r="A211" s="22" t="s">
        <v>173</v>
      </c>
      <c r="B211" s="22" t="s">
        <v>170</v>
      </c>
      <c r="C211" s="21">
        <v>45746</v>
      </c>
      <c r="D211" s="26">
        <f>IF(IF(C210="", "", Table1[[#This Row],[DATE]]-C210-1) &lt; 0, 0, IF(C210="", "", Table1[[#This Row],[DATE]]-C210-1))</f>
        <v>0</v>
      </c>
      <c r="E211" s="19" t="str">
        <f>TEXT(Table1[[#This Row],[DATE]],"yyyy-mm")</f>
        <v>2025-03</v>
      </c>
      <c r="F211" s="24"/>
      <c r="G211" s="28"/>
    </row>
    <row r="212" spans="1:7" x14ac:dyDescent="0.25">
      <c r="A212" s="22" t="s">
        <v>173</v>
      </c>
      <c r="B212" s="22" t="s">
        <v>185</v>
      </c>
      <c r="C212" s="21">
        <v>45746</v>
      </c>
      <c r="D212" s="26">
        <f>IF(IF(C211="", "", Table1[[#This Row],[DATE]]-C211-1) &lt; 0, 0, IF(C211="", "", Table1[[#This Row],[DATE]]-C211-1))</f>
        <v>0</v>
      </c>
      <c r="E212" s="19" t="str">
        <f>TEXT(Table1[[#This Row],[DATE]],"yyyy-mm")</f>
        <v>2025-03</v>
      </c>
      <c r="F212" s="24"/>
      <c r="G212" s="28"/>
    </row>
    <row r="213" spans="1:7" x14ac:dyDescent="0.25">
      <c r="A213" s="22" t="s">
        <v>173</v>
      </c>
      <c r="B213" s="22" t="s">
        <v>171</v>
      </c>
      <c r="C213" s="21">
        <v>45747</v>
      </c>
      <c r="D213" s="26">
        <f>IF(IF(C212="", "", Table1[[#This Row],[DATE]]-C212-1) &lt; 0, 0, IF(C212="", "", Table1[[#This Row],[DATE]]-C212-1))</f>
        <v>0</v>
      </c>
      <c r="E213" s="19" t="str">
        <f>TEXT(Table1[[#This Row],[DATE]],"yyyy-mm")</f>
        <v>2025-03</v>
      </c>
      <c r="F213" s="24"/>
      <c r="G213" s="28"/>
    </row>
    <row r="214" spans="1:7" x14ac:dyDescent="0.25">
      <c r="A214" s="22" t="s">
        <v>173</v>
      </c>
      <c r="B214" s="22" t="s">
        <v>185</v>
      </c>
      <c r="C214" s="21">
        <v>45747</v>
      </c>
      <c r="D214" s="26">
        <f>IF(IF(C213="", "", Table1[[#This Row],[DATE]]-C213-1) &lt; 0, 0, IF(C213="", "", Table1[[#This Row],[DATE]]-C213-1))</f>
        <v>0</v>
      </c>
      <c r="E214" s="19" t="str">
        <f>TEXT(Table1[[#This Row],[DATE]],"yyyy-mm")</f>
        <v>2025-03</v>
      </c>
      <c r="F214" s="24"/>
      <c r="G214" s="28"/>
    </row>
    <row r="215" spans="1:7" x14ac:dyDescent="0.25">
      <c r="A215" s="22" t="s">
        <v>173</v>
      </c>
      <c r="B215" s="22" t="s">
        <v>169</v>
      </c>
      <c r="C215" s="21">
        <v>45763</v>
      </c>
      <c r="D215" s="26">
        <f>IF(IF(C214="", "", Table1[[#This Row],[DATE]]-C214-1) &lt; 0, 0, IF(C214="", "", Table1[[#This Row],[DATE]]-C214-1))</f>
        <v>15</v>
      </c>
      <c r="E215" s="19" t="str">
        <f>TEXT(Table1[[#This Row],[DATE]],"yyyy-mm")</f>
        <v>2025-04</v>
      </c>
      <c r="F215" s="24" t="s">
        <v>230</v>
      </c>
      <c r="G215" s="28"/>
    </row>
    <row r="216" spans="1:7" x14ac:dyDescent="0.25">
      <c r="A216" s="22" t="s">
        <v>173</v>
      </c>
      <c r="B216" s="22" t="s">
        <v>170</v>
      </c>
      <c r="C216" s="21">
        <v>45765</v>
      </c>
      <c r="D216" s="26">
        <f>IF(IF(C215="", "", Table1[[#This Row],[DATE]]-C215-1) &lt; 0, 0, IF(C215="", "", Table1[[#This Row],[DATE]]-C215-1))</f>
        <v>1</v>
      </c>
      <c r="E216" s="19" t="str">
        <f>TEXT(Table1[[#This Row],[DATE]],"yyyy-mm")</f>
        <v>2025-04</v>
      </c>
      <c r="F216" s="24"/>
      <c r="G216" s="28"/>
    </row>
    <row r="217" spans="1:7" x14ac:dyDescent="0.25">
      <c r="A217" s="22" t="s">
        <v>173</v>
      </c>
      <c r="B217" s="22" t="s">
        <v>185</v>
      </c>
      <c r="C217" s="21">
        <v>45765</v>
      </c>
      <c r="D217" s="26">
        <f>IF(IF(C216="", "", Table1[[#This Row],[DATE]]-C216-1) &lt; 0, 0, IF(C216="", "", Table1[[#This Row],[DATE]]-C216-1))</f>
        <v>0</v>
      </c>
      <c r="E217" s="19" t="str">
        <f>TEXT(Table1[[#This Row],[DATE]],"yyyy-mm")</f>
        <v>2025-04</v>
      </c>
      <c r="F217" s="24"/>
      <c r="G217" s="28"/>
    </row>
    <row r="218" spans="1:7" x14ac:dyDescent="0.25">
      <c r="A218" s="22" t="s">
        <v>173</v>
      </c>
      <c r="B218" s="22" t="s">
        <v>171</v>
      </c>
      <c r="C218" s="21">
        <v>45767</v>
      </c>
      <c r="D218" s="26">
        <f>IF(IF(C217="", "", Table1[[#This Row],[DATE]]-C217-1) &lt; 0, 0, IF(C217="", "", Table1[[#This Row],[DATE]]-C217-1))</f>
        <v>1</v>
      </c>
      <c r="E218" s="19" t="str">
        <f>TEXT(Table1[[#This Row],[DATE]],"yyyy-mm")</f>
        <v>2025-04</v>
      </c>
      <c r="F218" s="24"/>
      <c r="G218" s="28"/>
    </row>
    <row r="219" spans="1:7" x14ac:dyDescent="0.25">
      <c r="A219" s="22" t="s">
        <v>173</v>
      </c>
      <c r="B219" s="22" t="s">
        <v>185</v>
      </c>
      <c r="C219" s="21">
        <v>45767</v>
      </c>
      <c r="D219" s="26">
        <f>IF(IF(C218="", "", Table1[[#This Row],[DATE]]-C218-1) &lt; 0, 0, IF(C218="", "", Table1[[#This Row],[DATE]]-C218-1))</f>
        <v>0</v>
      </c>
      <c r="E219" s="19" t="str">
        <f>TEXT(Table1[[#This Row],[DATE]],"yyyy-mm")</f>
        <v>2025-04</v>
      </c>
      <c r="F219" s="24"/>
      <c r="G219" s="28"/>
    </row>
    <row r="220" spans="1:7" x14ac:dyDescent="0.25">
      <c r="A220" s="22" t="s">
        <v>173</v>
      </c>
      <c r="B220" s="22" t="s">
        <v>172</v>
      </c>
      <c r="C220" s="21">
        <v>45768</v>
      </c>
      <c r="D220" s="26">
        <f>IF(IF(C219="", "", Table1[[#This Row],[DATE]]-C219-1) &lt; 0, 0, IF(C219="", "", Table1[[#This Row],[DATE]]-C219-1))</f>
        <v>0</v>
      </c>
      <c r="E220" s="19" t="str">
        <f>TEXT(Table1[[#This Row],[DATE]],"yyyy-mm")</f>
        <v>2025-04</v>
      </c>
      <c r="F220" s="24"/>
      <c r="G220" s="28"/>
    </row>
    <row r="221" spans="1:7" x14ac:dyDescent="0.25">
      <c r="A221" s="22" t="s">
        <v>173</v>
      </c>
      <c r="B221" s="22" t="s">
        <v>185</v>
      </c>
      <c r="C221" s="21">
        <v>45768</v>
      </c>
      <c r="D221" s="26">
        <f>IF(IF(C220="", "", Table1[[#This Row],[DATE]]-C220-1) &lt; 0, 0, IF(C220="", "", Table1[[#This Row],[DATE]]-C220-1))</f>
        <v>0</v>
      </c>
      <c r="E221" s="19" t="str">
        <f>TEXT(Table1[[#This Row],[DATE]],"yyyy-mm")</f>
        <v>2025-04</v>
      </c>
      <c r="F221" s="24"/>
      <c r="G221" s="28"/>
    </row>
    <row r="222" spans="1:7" x14ac:dyDescent="0.25">
      <c r="A222" s="22" t="s">
        <v>173</v>
      </c>
      <c r="B222" s="22" t="s">
        <v>169</v>
      </c>
      <c r="C222" s="21">
        <v>45770</v>
      </c>
      <c r="D222" s="26">
        <f>IF(IF(C221="", "", Table1[[#This Row],[DATE]]-C221-1) &lt; 0, 0, IF(C221="", "", Table1[[#This Row],[DATE]]-C221-1))</f>
        <v>1</v>
      </c>
      <c r="E222" s="19" t="str">
        <f>TEXT(Table1[[#This Row],[DATE]],"yyyy-mm")</f>
        <v>2025-04</v>
      </c>
      <c r="F222" s="24"/>
      <c r="G222" s="28"/>
    </row>
    <row r="223" spans="1:7" x14ac:dyDescent="0.25">
      <c r="A223" s="22" t="s">
        <v>173</v>
      </c>
      <c r="B223" s="22" t="s">
        <v>185</v>
      </c>
      <c r="C223" s="21">
        <v>45770</v>
      </c>
      <c r="D223" s="26">
        <f>IF(IF(C222="", "", Table1[[#This Row],[DATE]]-C222-1) &lt; 0, 0, IF(C222="", "", Table1[[#This Row],[DATE]]-C222-1))</f>
        <v>0</v>
      </c>
      <c r="E223" s="19" t="str">
        <f>TEXT(Table1[[#This Row],[DATE]],"yyyy-mm")</f>
        <v>2025-04</v>
      </c>
      <c r="F223" s="24"/>
      <c r="G223" s="28"/>
    </row>
    <row r="224" spans="1:7" x14ac:dyDescent="0.25">
      <c r="A224" s="22" t="s">
        <v>173</v>
      </c>
      <c r="B224" s="22" t="s">
        <v>170</v>
      </c>
      <c r="C224" s="21">
        <v>45771</v>
      </c>
      <c r="D224" s="26">
        <f>IF(IF(C223="", "", Table1[[#This Row],[DATE]]-C223-1) &lt; 0, 0, IF(C223="", "", Table1[[#This Row],[DATE]]-C223-1))</f>
        <v>0</v>
      </c>
      <c r="E224" s="19" t="str">
        <f>TEXT(Table1[[#This Row],[DATE]],"yyyy-mm")</f>
        <v>2025-04</v>
      </c>
      <c r="F224" s="24"/>
      <c r="G224" s="28"/>
    </row>
    <row r="225" spans="1:7" x14ac:dyDescent="0.25">
      <c r="A225" s="22" t="s">
        <v>173</v>
      </c>
      <c r="B225" s="22" t="s">
        <v>185</v>
      </c>
      <c r="C225" s="21">
        <v>45771</v>
      </c>
      <c r="D225" s="26">
        <f>IF(IF(C224="", "", Table1[[#This Row],[DATE]]-C224-1) &lt; 0, 0, IF(C224="", "", Table1[[#This Row],[DATE]]-C224-1))</f>
        <v>0</v>
      </c>
      <c r="E225" s="19" t="str">
        <f>TEXT(Table1[[#This Row],[DATE]],"yyyy-mm")</f>
        <v>2025-04</v>
      </c>
      <c r="F225" s="24"/>
      <c r="G225" s="28"/>
    </row>
    <row r="226" spans="1:7" x14ac:dyDescent="0.25">
      <c r="A226" s="22" t="s">
        <v>173</v>
      </c>
      <c r="B226" s="22" t="s">
        <v>171</v>
      </c>
      <c r="C226" s="21">
        <v>45772</v>
      </c>
      <c r="D226" s="26">
        <f>IF(IF(C225="", "", Table1[[#This Row],[DATE]]-C225-1) &lt; 0, 0, IF(C225="", "", Table1[[#This Row],[DATE]]-C225-1))</f>
        <v>0</v>
      </c>
      <c r="E226" s="19" t="str">
        <f>TEXT(Table1[[#This Row],[DATE]],"yyyy-mm")</f>
        <v>2025-04</v>
      </c>
      <c r="F226" s="24"/>
      <c r="G226" s="28"/>
    </row>
    <row r="227" spans="1:7" x14ac:dyDescent="0.25">
      <c r="A227" s="22" t="s">
        <v>173</v>
      </c>
      <c r="B227" s="22" t="s">
        <v>172</v>
      </c>
      <c r="C227" s="21">
        <v>45774</v>
      </c>
      <c r="D227" s="26">
        <f>IF(IF(C226="", "", Table1[[#This Row],[DATE]]-C226-1) &lt; 0, 0, IF(C226="", "", Table1[[#This Row],[DATE]]-C226-1))</f>
        <v>1</v>
      </c>
      <c r="E227" s="19" t="str">
        <f>TEXT(Table1[[#This Row],[DATE]],"yyyy-mm")</f>
        <v>2025-04</v>
      </c>
      <c r="F227" s="24"/>
      <c r="G227" s="28"/>
    </row>
    <row r="228" spans="1:7" x14ac:dyDescent="0.25">
      <c r="A228" s="22" t="s">
        <v>173</v>
      </c>
      <c r="B228" s="22" t="s">
        <v>185</v>
      </c>
      <c r="C228" s="21">
        <v>45774</v>
      </c>
      <c r="D228" s="26">
        <f>IF(IF(C227="", "", Table1[[#This Row],[DATE]]-C227-1) &lt; 0, 0, IF(C227="", "", Table1[[#This Row],[DATE]]-C227-1))</f>
        <v>0</v>
      </c>
      <c r="E228" s="19" t="str">
        <f>TEXT(Table1[[#This Row],[DATE]],"yyyy-mm")</f>
        <v>2025-04</v>
      </c>
      <c r="F228" s="24"/>
      <c r="G228" s="28"/>
    </row>
    <row r="229" spans="1:7" x14ac:dyDescent="0.25">
      <c r="A229" s="22" t="s">
        <v>173</v>
      </c>
      <c r="B229" s="22" t="s">
        <v>169</v>
      </c>
      <c r="C229" s="21">
        <v>45778</v>
      </c>
      <c r="D229" s="26">
        <f>IF(IF(C228="", "", Table1[[#This Row],[DATE]]-C228-1) &lt; 0, 0, IF(C228="", "", Table1[[#This Row],[DATE]]-C228-1))</f>
        <v>3</v>
      </c>
      <c r="E229" s="19" t="str">
        <f>TEXT(Table1[[#This Row],[DATE]],"yyyy-mm")</f>
        <v>2025-05</v>
      </c>
      <c r="F229" s="24"/>
      <c r="G229" s="28"/>
    </row>
    <row r="230" spans="1:7" x14ac:dyDescent="0.25">
      <c r="A230" s="22" t="s">
        <v>173</v>
      </c>
      <c r="B230" s="22" t="s">
        <v>185</v>
      </c>
      <c r="C230" s="21">
        <v>45778</v>
      </c>
      <c r="D230" s="26">
        <f>IF(IF(C229="", "", Table1[[#This Row],[DATE]]-C229-1) &lt; 0, 0, IF(C229="", "", Table1[[#This Row],[DATE]]-C229-1))</f>
        <v>0</v>
      </c>
      <c r="E230" s="19" t="str">
        <f>TEXT(Table1[[#This Row],[DATE]],"yyyy-mm")</f>
        <v>2025-05</v>
      </c>
      <c r="F230" s="24"/>
      <c r="G230" s="28"/>
    </row>
    <row r="231" spans="1:7" x14ac:dyDescent="0.25">
      <c r="A231" s="22" t="s">
        <v>173</v>
      </c>
      <c r="B231" s="22" t="s">
        <v>169</v>
      </c>
      <c r="C231" s="21">
        <v>45782</v>
      </c>
      <c r="D231" s="26">
        <f>IF(IF(C230="", "", Table1[[#This Row],[DATE]]-C230-1) &lt; 0, 0, IF(C230="", "", Table1[[#This Row],[DATE]]-C230-1))</f>
        <v>3</v>
      </c>
      <c r="E231" s="19" t="str">
        <f>TEXT(Table1[[#This Row],[DATE]],"yyyy-mm")</f>
        <v>2025-05</v>
      </c>
      <c r="F231" s="24"/>
      <c r="G231" s="28"/>
    </row>
    <row r="232" spans="1:7" x14ac:dyDescent="0.25">
      <c r="A232" s="22" t="s">
        <v>173</v>
      </c>
      <c r="B232" s="22" t="s">
        <v>185</v>
      </c>
      <c r="C232" s="21">
        <v>45782</v>
      </c>
      <c r="D232" s="26">
        <f>IF(IF(C231="", "", Table1[[#This Row],[DATE]]-C231-1) &lt; 0, 0, IF(C231="", "", Table1[[#This Row],[DATE]]-C231-1))</f>
        <v>0</v>
      </c>
      <c r="E232" s="19" t="str">
        <f>TEXT(Table1[[#This Row],[DATE]],"yyyy-mm")</f>
        <v>2025-05</v>
      </c>
      <c r="F232" s="24"/>
      <c r="G232" s="28"/>
    </row>
    <row r="233" spans="1:7" x14ac:dyDescent="0.25">
      <c r="A233" s="22" t="s">
        <v>173</v>
      </c>
      <c r="B233" s="22" t="s">
        <v>170</v>
      </c>
      <c r="C233" s="21">
        <v>45783</v>
      </c>
      <c r="D233" s="26">
        <f>IF(IF(C232="", "", Table1[[#This Row],[DATE]]-C232-1) &lt; 0, 0, IF(C232="", "", Table1[[#This Row],[DATE]]-C232-1))</f>
        <v>0</v>
      </c>
      <c r="E233" s="19" t="str">
        <f>TEXT(Table1[[#This Row],[DATE]],"yyyy-mm")</f>
        <v>2025-05</v>
      </c>
      <c r="F233" s="24"/>
      <c r="G233" s="28"/>
    </row>
    <row r="234" spans="1:7" x14ac:dyDescent="0.25">
      <c r="A234" s="22" t="s">
        <v>173</v>
      </c>
      <c r="B234" s="22" t="s">
        <v>185</v>
      </c>
      <c r="C234" s="21">
        <v>45783</v>
      </c>
      <c r="D234" s="26">
        <f>IF(IF(C233="", "", Table1[[#This Row],[DATE]]-C233-1) &lt; 0, 0, IF(C233="", "", Table1[[#This Row],[DATE]]-C233-1))</f>
        <v>0</v>
      </c>
      <c r="E234" s="19" t="str">
        <f>TEXT(Table1[[#This Row],[DATE]],"yyyy-mm")</f>
        <v>2025-05</v>
      </c>
      <c r="F234" s="24"/>
      <c r="G234" s="28"/>
    </row>
    <row r="235" spans="1:7" x14ac:dyDescent="0.25">
      <c r="A235" s="22" t="s">
        <v>173</v>
      </c>
      <c r="B235" s="22" t="s">
        <v>171</v>
      </c>
      <c r="C235" s="21">
        <v>45785</v>
      </c>
      <c r="D235" s="26">
        <f>IF(IF(C234="", "", Table1[[#This Row],[DATE]]-C234-1) &lt; 0, 0, IF(C234="", "", Table1[[#This Row],[DATE]]-C234-1))</f>
        <v>1</v>
      </c>
      <c r="E235" s="19" t="str">
        <f>TEXT(Table1[[#This Row],[DATE]],"yyyy-mm")</f>
        <v>2025-05</v>
      </c>
      <c r="F235" s="24"/>
      <c r="G235" s="28"/>
    </row>
    <row r="236" spans="1:7" x14ac:dyDescent="0.25">
      <c r="A236" s="22" t="s">
        <v>173</v>
      </c>
      <c r="B236" s="22" t="s">
        <v>185</v>
      </c>
      <c r="C236" s="21">
        <v>45785</v>
      </c>
      <c r="D236" s="26">
        <f>IF(IF(C235="", "", Table1[[#This Row],[DATE]]-C235-1) &lt; 0, 0, IF(C235="", "", Table1[[#This Row],[DATE]]-C235-1))</f>
        <v>0</v>
      </c>
      <c r="E236" s="19" t="str">
        <f>TEXT(Table1[[#This Row],[DATE]],"yyyy-mm")</f>
        <v>2025-05</v>
      </c>
      <c r="F236" s="24"/>
      <c r="G236" s="28"/>
    </row>
    <row r="237" spans="1:7" x14ac:dyDescent="0.25">
      <c r="A237" s="22" t="s">
        <v>173</v>
      </c>
      <c r="B237" s="22" t="s">
        <v>172</v>
      </c>
      <c r="C237" s="21">
        <v>45790</v>
      </c>
      <c r="D237" s="26">
        <f>IF(IF(C236="", "", Table1[[#This Row],[DATE]]-C236-1) &lt; 0, 0, IF(C236="", "", Table1[[#This Row],[DATE]]-C236-1))</f>
        <v>4</v>
      </c>
      <c r="E237" s="19" t="str">
        <f>TEXT(Table1[[#This Row],[DATE]],"yyyy-mm")</f>
        <v>2025-05</v>
      </c>
      <c r="F237" s="24"/>
      <c r="G237" s="28"/>
    </row>
    <row r="238" spans="1:7" x14ac:dyDescent="0.25">
      <c r="A238" s="22" t="s">
        <v>173</v>
      </c>
      <c r="B238" s="22" t="s">
        <v>185</v>
      </c>
      <c r="C238" s="21">
        <v>45790</v>
      </c>
      <c r="D238" s="26">
        <f>IF(IF(C237="", "", Table1[[#This Row],[DATE]]-C237-1) &lt; 0, 0, IF(C237="", "", Table1[[#This Row],[DATE]]-C237-1))</f>
        <v>0</v>
      </c>
      <c r="E238" s="19" t="str">
        <f>TEXT(Table1[[#This Row],[DATE]],"yyyy-mm")</f>
        <v>2025-05</v>
      </c>
      <c r="F238" s="24"/>
      <c r="G238" s="28"/>
    </row>
    <row r="239" spans="1:7" x14ac:dyDescent="0.25">
      <c r="A239" s="22" t="s">
        <v>173</v>
      </c>
      <c r="B239" s="22" t="s">
        <v>169</v>
      </c>
      <c r="C239" s="21">
        <v>45792</v>
      </c>
      <c r="D239" s="26">
        <f>IF(IF(C238="", "", Table1[[#This Row],[DATE]]-C238-1) &lt; 0, 0, IF(C238="", "", Table1[[#This Row],[DATE]]-C238-1))</f>
        <v>1</v>
      </c>
      <c r="E239" s="19" t="str">
        <f>TEXT(Table1[[#This Row],[DATE]],"yyyy-mm")</f>
        <v>2025-05</v>
      </c>
      <c r="F239" s="24"/>
      <c r="G239" s="28"/>
    </row>
    <row r="240" spans="1:7" x14ac:dyDescent="0.25">
      <c r="A240" s="22" t="s">
        <v>173</v>
      </c>
      <c r="B240" s="22" t="s">
        <v>185</v>
      </c>
      <c r="C240" s="21">
        <v>45792</v>
      </c>
      <c r="D240" s="26">
        <f>IF(IF(C239="", "", Table1[[#This Row],[DATE]]-C239-1) &lt; 0, 0, IF(C239="", "", Table1[[#This Row],[DATE]]-C239-1))</f>
        <v>0</v>
      </c>
      <c r="E240" s="19" t="str">
        <f>TEXT(Table1[[#This Row],[DATE]],"yyyy-mm")</f>
        <v>2025-05</v>
      </c>
      <c r="F240" s="24"/>
      <c r="G240" s="28"/>
    </row>
    <row r="241" spans="1:7" x14ac:dyDescent="0.25">
      <c r="A241" s="22" t="s">
        <v>173</v>
      </c>
      <c r="B241" s="22" t="s">
        <v>170</v>
      </c>
      <c r="C241" s="21">
        <v>45797</v>
      </c>
      <c r="D241" s="26">
        <f>IF(IF(C240="", "", Table1[[#This Row],[DATE]]-C240-1) &lt; 0, 0, IF(C240="", "", Table1[[#This Row],[DATE]]-C240-1))</f>
        <v>4</v>
      </c>
      <c r="E241" s="19" t="str">
        <f>TEXT(Table1[[#This Row],[DATE]],"yyyy-mm")</f>
        <v>2025-05</v>
      </c>
      <c r="F241" s="24"/>
      <c r="G241" s="28"/>
    </row>
    <row r="242" spans="1:7" x14ac:dyDescent="0.25">
      <c r="A242" s="22" t="s">
        <v>173</v>
      </c>
      <c r="B242" s="22" t="s">
        <v>185</v>
      </c>
      <c r="C242" s="21">
        <v>45797</v>
      </c>
      <c r="D242" s="26">
        <f>IF(IF(C241="", "", Table1[[#This Row],[DATE]]-C241-1) &lt; 0, 0, IF(C241="", "", Table1[[#This Row],[DATE]]-C241-1))</f>
        <v>0</v>
      </c>
      <c r="E242" s="19" t="str">
        <f>TEXT(Table1[[#This Row],[DATE]],"yyyy-mm")</f>
        <v>2025-05</v>
      </c>
      <c r="F242" s="24"/>
      <c r="G242" s="28"/>
    </row>
    <row r="243" spans="1:7" x14ac:dyDescent="0.25">
      <c r="A243" s="22" t="s">
        <v>173</v>
      </c>
      <c r="B243" s="22" t="s">
        <v>171</v>
      </c>
      <c r="C243" s="21">
        <v>45799</v>
      </c>
      <c r="D243" s="26">
        <f>IF(IF(C242="", "", Table1[[#This Row],[DATE]]-C242-1) &lt; 0, 0, IF(C242="", "", Table1[[#This Row],[DATE]]-C242-1))</f>
        <v>1</v>
      </c>
      <c r="E243" s="19" t="str">
        <f>TEXT(Table1[[#This Row],[DATE]],"yyyy-mm")</f>
        <v>2025-05</v>
      </c>
      <c r="F243" s="24"/>
      <c r="G243" s="28"/>
    </row>
    <row r="244" spans="1:7" x14ac:dyDescent="0.25">
      <c r="A244" s="22" t="s">
        <v>173</v>
      </c>
      <c r="B244" s="22" t="s">
        <v>185</v>
      </c>
      <c r="C244" s="21">
        <v>45799</v>
      </c>
      <c r="D244" s="26">
        <f>IF(IF(C243="", "", Table1[[#This Row],[DATE]]-C243-1) &lt; 0, 0, IF(C243="", "", Table1[[#This Row],[DATE]]-C243-1))</f>
        <v>0</v>
      </c>
      <c r="E244" s="19" t="str">
        <f>TEXT(Table1[[#This Row],[DATE]],"yyyy-mm")</f>
        <v>2025-05</v>
      </c>
      <c r="F244" s="24"/>
      <c r="G244" s="28"/>
    </row>
    <row r="245" spans="1:7" x14ac:dyDescent="0.25">
      <c r="A245" s="22" t="s">
        <v>173</v>
      </c>
      <c r="B245" s="22" t="s">
        <v>172</v>
      </c>
      <c r="C245" s="21">
        <v>45804</v>
      </c>
      <c r="D245" s="26">
        <f>IF(IF(C244="", "", Table1[[#This Row],[DATE]]-C244-1) &lt; 0, 0, IF(C244="", "", Table1[[#This Row],[DATE]]-C244-1))</f>
        <v>4</v>
      </c>
      <c r="E245" s="19" t="str">
        <f>TEXT(Table1[[#This Row],[DATE]],"yyyy-mm")</f>
        <v>2025-05</v>
      </c>
      <c r="F245" s="24"/>
      <c r="G245" s="28"/>
    </row>
    <row r="246" spans="1:7" x14ac:dyDescent="0.25">
      <c r="A246" s="22" t="s">
        <v>173</v>
      </c>
      <c r="B246" s="22" t="s">
        <v>185</v>
      </c>
      <c r="C246" s="21">
        <v>45804</v>
      </c>
      <c r="D246" s="26">
        <f>IF(IF(C245="", "", Table1[[#This Row],[DATE]]-C245-1) &lt; 0, 0, IF(C245="", "", Table1[[#This Row],[DATE]]-C245-1))</f>
        <v>0</v>
      </c>
      <c r="E246" s="19" t="str">
        <f>TEXT(Table1[[#This Row],[DATE]],"yyyy-mm")</f>
        <v>2025-05</v>
      </c>
      <c r="F246" s="24"/>
      <c r="G246" s="28"/>
    </row>
    <row r="247" spans="1:7" x14ac:dyDescent="0.25">
      <c r="A247" s="22" t="s">
        <v>173</v>
      </c>
      <c r="B247" s="22" t="s">
        <v>169</v>
      </c>
      <c r="C247" s="21">
        <v>45859</v>
      </c>
      <c r="D247" s="26">
        <f>IF(IF(C246="", "", Table1[[#This Row],[DATE]]-C246-1) &lt; 0, 0, IF(C246="", "", Table1[[#This Row],[DATE]]-C246-1))</f>
        <v>54</v>
      </c>
      <c r="E247" s="19" t="str">
        <f>TEXT(Table1[[#This Row],[DATE]],"yyyy-mm")</f>
        <v>2025-07</v>
      </c>
      <c r="F247" s="24" t="s">
        <v>233</v>
      </c>
      <c r="G247" s="28"/>
    </row>
    <row r="248" spans="1:7" x14ac:dyDescent="0.25">
      <c r="A248" s="22" t="s">
        <v>173</v>
      </c>
      <c r="B248" s="22" t="s">
        <v>169</v>
      </c>
      <c r="C248" s="21">
        <v>45866</v>
      </c>
      <c r="D248" s="26">
        <f>IF(IF(C247="", "", Table1[[#This Row],[DATE]]-C247-1) &lt; 0, 0, IF(C247="", "", Table1[[#This Row],[DATE]]-C247-1))</f>
        <v>6</v>
      </c>
      <c r="E248" s="19" t="str">
        <f>TEXT(Table1[[#This Row],[DATE]],"yyyy-mm")</f>
        <v>2025-07</v>
      </c>
      <c r="F248" s="24"/>
      <c r="G248" s="28"/>
    </row>
    <row r="249" spans="1:7" x14ac:dyDescent="0.25">
      <c r="A249" s="22" t="s">
        <v>173</v>
      </c>
      <c r="B249" s="22" t="s">
        <v>169</v>
      </c>
      <c r="C249" s="21">
        <v>45875</v>
      </c>
      <c r="D249" s="26">
        <f>IF(IF(C248="", "", Table1[[#This Row],[DATE]]-C248-1) &lt; 0, 0, IF(C248="", "", Table1[[#This Row],[DATE]]-C248-1))</f>
        <v>8</v>
      </c>
      <c r="E249" s="19" t="str">
        <f>TEXT(Table1[[#This Row],[DATE]],"yyyy-mm")</f>
        <v>2025-08</v>
      </c>
      <c r="F249" s="24" t="s">
        <v>233</v>
      </c>
      <c r="G249" s="28"/>
    </row>
    <row r="250" spans="1:7" x14ac:dyDescent="0.25">
      <c r="A250" s="22" t="s">
        <v>173</v>
      </c>
      <c r="B250" s="22" t="s">
        <v>185</v>
      </c>
      <c r="C250" s="21">
        <v>45875</v>
      </c>
      <c r="D250" s="26">
        <f>IF(IF(C249="", "", Table1[[#This Row],[DATE]]-C249-1) &lt; 0, 0, IF(C249="", "", Table1[[#This Row],[DATE]]-C249-1))</f>
        <v>0</v>
      </c>
      <c r="E250" s="19" t="str">
        <f>TEXT(Table1[[#This Row],[DATE]],"yyyy-mm")</f>
        <v>2025-08</v>
      </c>
      <c r="F250" s="24" t="s">
        <v>236</v>
      </c>
      <c r="G250" s="28"/>
    </row>
    <row r="251" spans="1:7" x14ac:dyDescent="0.25">
      <c r="A251" s="22" t="s">
        <v>173</v>
      </c>
      <c r="B251" s="22" t="s">
        <v>169</v>
      </c>
      <c r="C251" s="21">
        <v>45894</v>
      </c>
      <c r="D251" s="26">
        <f>IF(IF(C250="", "", Table1[[#This Row],[DATE]]-C250-1) &lt; 0, 0, IF(C250="", "", Table1[[#This Row],[DATE]]-C250-1))</f>
        <v>18</v>
      </c>
      <c r="E251" s="19" t="str">
        <f>TEXT(Table1[[#This Row],[DATE]],"yyyy-mm")</f>
        <v>2025-08</v>
      </c>
      <c r="F251" s="24" t="s">
        <v>237</v>
      </c>
      <c r="G251" s="28"/>
    </row>
    <row r="252" spans="1:7" x14ac:dyDescent="0.25">
      <c r="A252" s="22" t="s">
        <v>173</v>
      </c>
      <c r="B252" s="22" t="s">
        <v>185</v>
      </c>
      <c r="C252" s="21">
        <v>45894</v>
      </c>
      <c r="D252" s="26">
        <f>IF(IF(C251="", "", Table1[[#This Row],[DATE]]-C251-1) &lt; 0, 0, IF(C251="", "", Table1[[#This Row],[DATE]]-C251-1))</f>
        <v>0</v>
      </c>
      <c r="E252" s="19" t="str">
        <f>TEXT(Table1[[#This Row],[DATE]],"yyyy-mm")</f>
        <v>2025-08</v>
      </c>
      <c r="F252" s="24"/>
      <c r="G252" s="28"/>
    </row>
    <row r="253" spans="1:7" x14ac:dyDescent="0.25">
      <c r="A253" s="22" t="s">
        <v>173</v>
      </c>
      <c r="B253" s="22" t="s">
        <v>169</v>
      </c>
      <c r="C253" s="21">
        <v>45915</v>
      </c>
      <c r="D253" s="26">
        <f>IF(IF(C252="", "", Table1[[#This Row],[DATE]]-C252-1) &lt; 0, 0, IF(C252="", "", Table1[[#This Row],[DATE]]-C252-1))</f>
        <v>20</v>
      </c>
      <c r="E253" s="19" t="str">
        <f>TEXT(Table1[[#This Row],[DATE]],"yyyy-mm")</f>
        <v>2025-09</v>
      </c>
      <c r="F253" s="24" t="s">
        <v>238</v>
      </c>
      <c r="G253" s="28"/>
    </row>
    <row r="254" spans="1:7" x14ac:dyDescent="0.25">
      <c r="A254" s="22" t="s">
        <v>173</v>
      </c>
      <c r="B254" s="22" t="s">
        <v>185</v>
      </c>
      <c r="C254" s="21">
        <v>45915</v>
      </c>
      <c r="D254" s="26">
        <f>IF(IF(C253="", "", Table1[[#This Row],[DATE]]-C253-1) &lt; 0, 0, IF(C253="", "", Table1[[#This Row],[DATE]]-C253-1))</f>
        <v>0</v>
      </c>
      <c r="E254" s="19" t="str">
        <f>TEXT(Table1[[#This Row],[DATE]],"yyyy-mm")</f>
        <v>2025-09</v>
      </c>
      <c r="F254" s="24" t="s">
        <v>221</v>
      </c>
      <c r="G254" s="28"/>
    </row>
    <row r="255" spans="1:7" x14ac:dyDescent="0.25">
      <c r="A255" s="22" t="s">
        <v>173</v>
      </c>
      <c r="B255" s="22" t="s">
        <v>170</v>
      </c>
      <c r="C255" s="21">
        <v>45916</v>
      </c>
      <c r="D255" s="26">
        <f>IF(IF(C254="", "", Table1[[#This Row],[DATE]]-C254-1) &lt; 0, 0, IF(C254="", "", Table1[[#This Row],[DATE]]-C254-1))</f>
        <v>0</v>
      </c>
      <c r="E255" s="19" t="str">
        <f>TEXT(Table1[[#This Row],[DATE]],"yyyy-mm")</f>
        <v>2025-09</v>
      </c>
      <c r="F255" s="24"/>
      <c r="G255" s="28"/>
    </row>
    <row r="256" spans="1:7" x14ac:dyDescent="0.25">
      <c r="A256" s="22" t="s">
        <v>173</v>
      </c>
      <c r="B256" s="22" t="s">
        <v>185</v>
      </c>
      <c r="C256" s="21">
        <v>45916</v>
      </c>
      <c r="D256" s="26">
        <f>IF(IF(C255="", "", Table1[[#This Row],[DATE]]-C255-1) &lt; 0, 0, IF(C255="", "", Table1[[#This Row],[DATE]]-C255-1))</f>
        <v>0</v>
      </c>
      <c r="E256" s="19" t="str">
        <f>TEXT(Table1[[#This Row],[DATE]],"yyyy-mm")</f>
        <v>2025-09</v>
      </c>
      <c r="F256" s="24"/>
      <c r="G256" s="28"/>
    </row>
    <row r="257" spans="1:7" x14ac:dyDescent="0.25">
      <c r="A257" s="22" t="s">
        <v>173</v>
      </c>
      <c r="B257" s="22" t="s">
        <v>172</v>
      </c>
      <c r="C257" s="21">
        <v>45929</v>
      </c>
      <c r="D257" s="26">
        <f>IF(IF(C256="", "", Table1[[#This Row],[DATE]]-C256-1) &lt; 0, 0, IF(C256="", "", Table1[[#This Row],[DATE]]-C256-1))</f>
        <v>12</v>
      </c>
      <c r="E257" s="19" t="str">
        <f>TEXT(Table1[[#This Row],[DATE]],"yyyy-mm")</f>
        <v>2025-09</v>
      </c>
      <c r="F257" s="24"/>
      <c r="G257" s="28"/>
    </row>
    <row r="258" spans="1:7" x14ac:dyDescent="0.25">
      <c r="A258" s="22" t="s">
        <v>173</v>
      </c>
      <c r="B258" s="22" t="s">
        <v>185</v>
      </c>
      <c r="C258" s="21">
        <v>45929</v>
      </c>
      <c r="D258" s="26">
        <f>IF(IF(C257="", "", Table1[[#This Row],[DATE]]-C257-1) &lt; 0, 0, IF(C257="", "", Table1[[#This Row],[DATE]]-C257-1))</f>
        <v>0</v>
      </c>
      <c r="E258" s="19" t="str">
        <f>TEXT(Table1[[#This Row],[DATE]],"yyyy-mm")</f>
        <v>2025-09</v>
      </c>
      <c r="F258" s="24"/>
      <c r="G258" s="28"/>
    </row>
    <row r="259" spans="1:7" x14ac:dyDescent="0.25">
      <c r="A259" s="22" t="s">
        <v>173</v>
      </c>
      <c r="B259" s="22" t="s">
        <v>169</v>
      </c>
      <c r="C259" s="21">
        <v>45936</v>
      </c>
      <c r="D259" s="26">
        <f>IF(IF(C258="", "", Table1[[#This Row],[DATE]]-C258-1) &lt; 0, 0, IF(C258="", "", Table1[[#This Row],[DATE]]-C258-1))</f>
        <v>6</v>
      </c>
      <c r="E259" s="19" t="str">
        <f>TEXT(Table1[[#This Row],[DATE]],"yyyy-mm")</f>
        <v>2025-10</v>
      </c>
      <c r="F259" s="24"/>
      <c r="G259" s="28"/>
    </row>
    <row r="260" spans="1:7" x14ac:dyDescent="0.25">
      <c r="A260" s="22" t="s">
        <v>173</v>
      </c>
      <c r="B260" s="22" t="s">
        <v>185</v>
      </c>
      <c r="C260" s="21">
        <v>45936</v>
      </c>
      <c r="D260" s="26">
        <f>IF(IF(C259="", "", Table1[[#This Row],[DATE]]-C259-1) &lt; 0, 0, IF(C259="", "", Table1[[#This Row],[DATE]]-C259-1))</f>
        <v>0</v>
      </c>
      <c r="E260" s="19" t="str">
        <f>TEXT(Table1[[#This Row],[DATE]],"yyyy-mm")</f>
        <v>2025-10</v>
      </c>
      <c r="F260" s="24"/>
      <c r="G260" s="28"/>
    </row>
    <row r="261" spans="1:7" x14ac:dyDescent="0.25">
      <c r="A261" s="22" t="s">
        <v>173</v>
      </c>
      <c r="B261" s="22" t="s">
        <v>170</v>
      </c>
      <c r="C261" s="21">
        <v>45937</v>
      </c>
      <c r="D261" s="26">
        <f>IF(IF(C260="", "", Table1[[#This Row],[DATE]]-C260-1) &lt; 0, 0, IF(C260="", "", Table1[[#This Row],[DATE]]-C260-1))</f>
        <v>0</v>
      </c>
      <c r="E261" s="19" t="str">
        <f>TEXT(Table1[[#This Row],[DATE]],"yyyy-mm")</f>
        <v>2025-10</v>
      </c>
      <c r="F261" s="24"/>
      <c r="G261" s="28"/>
    </row>
    <row r="262" spans="1:7" x14ac:dyDescent="0.25">
      <c r="A262" s="22" t="s">
        <v>173</v>
      </c>
      <c r="B262" s="22" t="s">
        <v>185</v>
      </c>
      <c r="C262" s="21">
        <v>45937</v>
      </c>
      <c r="D262" s="26">
        <f>IF(IF(C261="", "", Table1[[#This Row],[DATE]]-C261-1) &lt; 0, 0, IF(C261="", "", Table1[[#This Row],[DATE]]-C261-1))</f>
        <v>0</v>
      </c>
      <c r="E262" s="19" t="str">
        <f>TEXT(Table1[[#This Row],[DATE]],"yyyy-mm")</f>
        <v>2025-10</v>
      </c>
      <c r="F262" s="24"/>
      <c r="G262" s="28"/>
    </row>
    <row r="263" spans="1:7" x14ac:dyDescent="0.25">
      <c r="A263" s="22" t="s">
        <v>173</v>
      </c>
      <c r="B263" s="22" t="s">
        <v>171</v>
      </c>
      <c r="C263" s="21">
        <v>45938</v>
      </c>
      <c r="D263" s="26">
        <f>IF(IF(C262="", "", Table1[[#This Row],[DATE]]-C262-1) &lt; 0, 0, IF(C262="", "", Table1[[#This Row],[DATE]]-C262-1))</f>
        <v>0</v>
      </c>
      <c r="E263" s="19" t="str">
        <f>TEXT(Table1[[#This Row],[DATE]],"yyyy-mm")</f>
        <v>2025-10</v>
      </c>
      <c r="F263" s="24"/>
      <c r="G263" s="28"/>
    </row>
    <row r="264" spans="1:7" x14ac:dyDescent="0.25">
      <c r="A264" s="22" t="s">
        <v>173</v>
      </c>
      <c r="B264" s="22" t="s">
        <v>185</v>
      </c>
      <c r="C264" s="21">
        <v>45938</v>
      </c>
      <c r="D264" s="26">
        <f>IF(IF(C263="", "", Table1[[#This Row],[DATE]]-C263-1) &lt; 0, 0, IF(C263="", "", Table1[[#This Row],[DATE]]-C263-1))</f>
        <v>0</v>
      </c>
      <c r="E264" s="19" t="str">
        <f>TEXT(Table1[[#This Row],[DATE]],"yyyy-mm")</f>
        <v>2025-10</v>
      </c>
      <c r="F264" s="24"/>
      <c r="G264" s="28"/>
    </row>
    <row r="265" spans="1:7" x14ac:dyDescent="0.25">
      <c r="A265" s="22" t="s">
        <v>173</v>
      </c>
      <c r="B265" s="22" t="s">
        <v>172</v>
      </c>
      <c r="C265" s="21">
        <v>45941</v>
      </c>
      <c r="D265" s="26">
        <f>IF(IF(C264="", "", Table1[[#This Row],[DATE]]-C264-1) &lt; 0, 0, IF(C264="", "", Table1[[#This Row],[DATE]]-C264-1))</f>
        <v>2</v>
      </c>
      <c r="E265" s="19" t="str">
        <f>TEXT(Table1[[#This Row],[DATE]],"yyyy-mm")</f>
        <v>2025-10</v>
      </c>
      <c r="F265" s="24"/>
      <c r="G265" s="28"/>
    </row>
    <row r="266" spans="1:7" x14ac:dyDescent="0.25">
      <c r="A266" s="22" t="s">
        <v>173</v>
      </c>
      <c r="B266" s="22" t="s">
        <v>185</v>
      </c>
      <c r="C266" s="21">
        <v>45941</v>
      </c>
      <c r="D266" s="26">
        <f>IF(IF(C265="", "", Table1[[#This Row],[DATE]]-C265-1) &lt; 0, 0, IF(C265="", "", Table1[[#This Row],[DATE]]-C265-1))</f>
        <v>0</v>
      </c>
      <c r="E266" s="19" t="str">
        <f>TEXT(Table1[[#This Row],[DATE]],"yyyy-mm")</f>
        <v>2025-10</v>
      </c>
      <c r="F266" s="24"/>
      <c r="G266" s="28"/>
    </row>
    <row r="267" spans="1:7" x14ac:dyDescent="0.25">
      <c r="A267" s="22" t="s">
        <v>173</v>
      </c>
      <c r="B267" s="22" t="s">
        <v>169</v>
      </c>
      <c r="C267" s="21">
        <v>45943</v>
      </c>
      <c r="D267" s="26">
        <f>IF(IF(C266="", "", Table1[[#This Row],[DATE]]-C266-1) &lt; 0, 0, IF(C266="", "", Table1[[#This Row],[DATE]]-C266-1))</f>
        <v>1</v>
      </c>
      <c r="E267" s="19" t="str">
        <f>TEXT(Table1[[#This Row],[DATE]],"yyyy-mm")</f>
        <v>2025-10</v>
      </c>
      <c r="F267" s="24"/>
      <c r="G267" s="28"/>
    </row>
    <row r="268" spans="1:7" x14ac:dyDescent="0.25">
      <c r="A268" s="22" t="s">
        <v>173</v>
      </c>
      <c r="B268" s="22" t="s">
        <v>185</v>
      </c>
      <c r="C268" s="21">
        <v>45943</v>
      </c>
      <c r="D268" s="26">
        <f>IF(IF(C267="", "", Table1[[#This Row],[DATE]]-C267-1) &lt; 0, 0, IF(C267="", "", Table1[[#This Row],[DATE]]-C267-1))</f>
        <v>0</v>
      </c>
      <c r="E268" s="19" t="str">
        <f>TEXT(Table1[[#This Row],[DATE]],"yyyy-mm")</f>
        <v>2025-10</v>
      </c>
      <c r="F268" s="24"/>
      <c r="G268" s="28"/>
    </row>
    <row r="269" spans="1:7" x14ac:dyDescent="0.25">
      <c r="A269" s="22" t="s">
        <v>173</v>
      </c>
      <c r="B269" s="22" t="s">
        <v>170</v>
      </c>
      <c r="C269" s="21">
        <v>45951</v>
      </c>
      <c r="D269" s="26">
        <f>IF(IF(C268="", "", Table1[[#This Row],[DATE]]-C268-1) &lt; 0, 0, IF(C268="", "", Table1[[#This Row],[DATE]]-C268-1))</f>
        <v>7</v>
      </c>
      <c r="E269" s="19" t="str">
        <f>TEXT(Table1[[#This Row],[DATE]],"yyyy-mm")</f>
        <v>2025-10</v>
      </c>
      <c r="F269" s="24"/>
      <c r="G269" s="28"/>
    </row>
    <row r="270" spans="1:7" x14ac:dyDescent="0.25">
      <c r="A270" s="22" t="s">
        <v>173</v>
      </c>
      <c r="B270" s="22" t="s">
        <v>185</v>
      </c>
      <c r="C270" s="21">
        <v>45951</v>
      </c>
      <c r="D270" s="26">
        <f>IF(IF(C269="", "", Table1[[#This Row],[DATE]]-C269-1) &lt; 0, 0, IF(C269="", "", Table1[[#This Row],[DATE]]-C269-1))</f>
        <v>0</v>
      </c>
      <c r="E270" s="19" t="str">
        <f>TEXT(Table1[[#This Row],[DATE]],"yyyy-mm")</f>
        <v>2025-10</v>
      </c>
      <c r="F270" s="24"/>
      <c r="G270" s="28"/>
    </row>
    <row r="271" spans="1:7" x14ac:dyDescent="0.25">
      <c r="A271" s="22" t="s">
        <v>173</v>
      </c>
      <c r="B271" s="22" t="s">
        <v>169</v>
      </c>
      <c r="C271" s="21">
        <v>45957</v>
      </c>
      <c r="D271" s="26">
        <f>IF(IF(C270="", "", Table1[[#This Row],[DATE]]-C270-1) &lt; 0, 0, IF(C270="", "", Table1[[#This Row],[DATE]]-C270-1))</f>
        <v>5</v>
      </c>
      <c r="E271" s="19" t="str">
        <f>TEXT(Table1[[#This Row],[DATE]],"yyyy-mm")</f>
        <v>2025-10</v>
      </c>
      <c r="F271" s="24"/>
      <c r="G271" s="28"/>
    </row>
    <row r="272" spans="1:7" x14ac:dyDescent="0.25">
      <c r="A272" s="22" t="s">
        <v>173</v>
      </c>
      <c r="B272" s="22" t="s">
        <v>185</v>
      </c>
      <c r="C272" s="21">
        <v>45957</v>
      </c>
      <c r="D272" s="26">
        <f>IF(IF(C271="", "", Table1[[#This Row],[DATE]]-C271-1) &lt; 0, 0, IF(C271="", "", Table1[[#This Row],[DATE]]-C271-1))</f>
        <v>0</v>
      </c>
      <c r="E272" s="19" t="str">
        <f>TEXT(Table1[[#This Row],[DATE]],"yyyy-mm")</f>
        <v>2025-10</v>
      </c>
      <c r="F272" s="24"/>
      <c r="G272" s="28"/>
    </row>
    <row r="273" spans="1:7" x14ac:dyDescent="0.25">
      <c r="A273" s="22" t="s">
        <v>173</v>
      </c>
      <c r="B273" s="22" t="s">
        <v>169</v>
      </c>
      <c r="C273" s="21">
        <v>45959</v>
      </c>
      <c r="D273" s="26">
        <f>IF(IF(C272="", "", Table1[[#This Row],[DATE]]-C272-1) &lt; 0, 0, IF(C272="", "", Table1[[#This Row],[DATE]]-C272-1))</f>
        <v>1</v>
      </c>
      <c r="E273" s="19" t="str">
        <f>TEXT(Table1[[#This Row],[DATE]],"yyyy-mm")</f>
        <v>2025-10</v>
      </c>
      <c r="F273" s="24"/>
      <c r="G273" s="28"/>
    </row>
    <row r="274" spans="1:7" x14ac:dyDescent="0.25">
      <c r="A274" s="22" t="s">
        <v>173</v>
      </c>
      <c r="B274" s="22" t="s">
        <v>185</v>
      </c>
      <c r="C274" s="21">
        <v>45959</v>
      </c>
      <c r="D274" s="26">
        <f>IF(IF(C273="", "", Table1[[#This Row],[DATE]]-C273-1) &lt; 0, 0, IF(C273="", "", Table1[[#This Row],[DATE]]-C273-1))</f>
        <v>0</v>
      </c>
      <c r="E274" s="19" t="str">
        <f>TEXT(Table1[[#This Row],[DATE]],"yyyy-mm")</f>
        <v>2025-10</v>
      </c>
      <c r="F274" s="24"/>
      <c r="G274" s="28"/>
    </row>
    <row r="275" spans="1:7" x14ac:dyDescent="0.25">
      <c r="A275" s="22" t="s">
        <v>173</v>
      </c>
      <c r="B275" s="22" t="s">
        <v>172</v>
      </c>
      <c r="C275" s="21">
        <v>45960</v>
      </c>
      <c r="D275" s="26">
        <f>IF(IF(C274="", "", Table1[[#This Row],[DATE]]-C274-1) &lt; 0, 0, IF(C274="", "", Table1[[#This Row],[DATE]]-C274-1))</f>
        <v>0</v>
      </c>
      <c r="E275" s="19" t="str">
        <f>TEXT(Table1[[#This Row],[DATE]],"yyyy-mm")</f>
        <v>2025-10</v>
      </c>
      <c r="F275" s="24"/>
      <c r="G275" s="28"/>
    </row>
    <row r="276" spans="1:7" x14ac:dyDescent="0.25">
      <c r="A276" s="22" t="s">
        <v>173</v>
      </c>
      <c r="B276" s="22" t="s">
        <v>185</v>
      </c>
      <c r="C276" s="21">
        <v>45960</v>
      </c>
      <c r="D276" s="26">
        <f>IF(IF(C275="", "", Table1[[#This Row],[DATE]]-C275-1) &lt; 0, 0, IF(C275="", "", Table1[[#This Row],[DATE]]-C275-1))</f>
        <v>0</v>
      </c>
      <c r="E276" s="19" t="str">
        <f>TEXT(Table1[[#This Row],[DATE]],"yyyy-mm")</f>
        <v>2025-10</v>
      </c>
      <c r="F276" s="24"/>
      <c r="G276" s="28"/>
    </row>
    <row r="277" spans="1:7" x14ac:dyDescent="0.25">
      <c r="A277" s="22" t="s">
        <v>173</v>
      </c>
      <c r="B277" s="22" t="s">
        <v>169</v>
      </c>
      <c r="C277" s="21">
        <v>45971</v>
      </c>
      <c r="D277" s="26">
        <f>IF(IF(C276="", "", Table1[[#This Row],[DATE]]-C276-1) &lt; 0, 0, IF(C276="", "", Table1[[#This Row],[DATE]]-C276-1))</f>
        <v>10</v>
      </c>
      <c r="E277" s="19" t="str">
        <f>TEXT(Table1[[#This Row],[DATE]],"yyyy-mm")</f>
        <v>2025-11</v>
      </c>
      <c r="F277" s="24"/>
      <c r="G277" s="28"/>
    </row>
    <row r="278" spans="1:7" x14ac:dyDescent="0.25">
      <c r="A278" s="22" t="s">
        <v>173</v>
      </c>
      <c r="B278" s="22" t="s">
        <v>185</v>
      </c>
      <c r="C278" s="21">
        <v>45971</v>
      </c>
      <c r="D278" s="26">
        <f>IF(IF(C277="", "", Table1[[#This Row],[DATE]]-C277-1) &lt; 0, 0, IF(C277="", "", Table1[[#This Row],[DATE]]-C277-1))</f>
        <v>0</v>
      </c>
      <c r="E278" s="19" t="str">
        <f>TEXT(Table1[[#This Row],[DATE]],"yyyy-mm")</f>
        <v>2025-11</v>
      </c>
      <c r="F278" s="24"/>
      <c r="G278" s="28"/>
    </row>
    <row r="279" spans="1:7" x14ac:dyDescent="0.25">
      <c r="A279" s="22" t="s">
        <v>173</v>
      </c>
      <c r="B279" s="22" t="s">
        <v>170</v>
      </c>
      <c r="C279" s="21">
        <v>45972</v>
      </c>
      <c r="D279" s="26">
        <f>IF(IF(C277="", "", Table1[[#This Row],[DATE]]-C277-1) &lt; 0, 0, IF(C277="", "", Table1[[#This Row],[DATE]]-C277-1))</f>
        <v>0</v>
      </c>
      <c r="E279" s="19" t="str">
        <f>TEXT(Table1[[#This Row],[DATE]],"yyyy-mm")</f>
        <v>2025-11</v>
      </c>
      <c r="F279" s="24"/>
      <c r="G279" s="28"/>
    </row>
    <row r="280" spans="1:7" x14ac:dyDescent="0.25">
      <c r="A280" s="22" t="s">
        <v>173</v>
      </c>
      <c r="B280" s="22" t="s">
        <v>171</v>
      </c>
      <c r="C280" s="21">
        <v>45975</v>
      </c>
      <c r="D280" s="26">
        <f>IF(IF(C279="", "", Table1[[#This Row],[DATE]]-C279-1) &lt; 0, 0, IF(C279="", "", Table1[[#This Row],[DATE]]-C279-1))</f>
        <v>2</v>
      </c>
      <c r="E280" s="19" t="str">
        <f>TEXT(Table1[[#This Row],[DATE]],"yyyy-mm")</f>
        <v>2025-11</v>
      </c>
      <c r="F280" s="24"/>
      <c r="G280" s="28"/>
    </row>
    <row r="281" spans="1:7" x14ac:dyDescent="0.25">
      <c r="A281" s="22" t="s">
        <v>173</v>
      </c>
      <c r="B281" s="22" t="s">
        <v>172</v>
      </c>
      <c r="C281" s="21">
        <v>45979</v>
      </c>
      <c r="D281" s="26">
        <f>IF(IF(C280="", "", Table1[[#This Row],[DATE]]-C280-1) &lt; 0, 0, IF(C280="", "", Table1[[#This Row],[DATE]]-C280-1))</f>
        <v>3</v>
      </c>
      <c r="E281" s="19" t="str">
        <f>TEXT(Table1[[#This Row],[DATE]],"yyyy-mm")</f>
        <v>2025-11</v>
      </c>
      <c r="F281" s="24"/>
      <c r="G281" s="28"/>
    </row>
    <row r="282" spans="1:7" x14ac:dyDescent="0.25">
      <c r="A282" s="22" t="s">
        <v>173</v>
      </c>
      <c r="B282" s="22" t="s">
        <v>169</v>
      </c>
      <c r="C282" s="21">
        <v>45982</v>
      </c>
      <c r="D282" s="26">
        <f>IF(IF(C281="", "", Table1[[#This Row],[DATE]]-C281-1) &lt; 0, 0, IF(C281="", "", Table1[[#This Row],[DATE]]-C281-1))</f>
        <v>2</v>
      </c>
      <c r="E282" s="19" t="str">
        <f>TEXT(Table1[[#This Row],[DATE]],"yyyy-mm")</f>
        <v>2025-11</v>
      </c>
      <c r="F282" s="24"/>
      <c r="G282" s="28"/>
    </row>
    <row r="283" spans="1:7" x14ac:dyDescent="0.25">
      <c r="A283" s="22" t="s">
        <v>173</v>
      </c>
      <c r="B283" s="22" t="s">
        <v>169</v>
      </c>
      <c r="C283" s="21">
        <v>45992</v>
      </c>
      <c r="D283" s="26">
        <f>IF(IF(C282="", "", Table1[[#This Row],[DATE]]-C282-1) &lt; 0, 0, IF(C282="", "", Table1[[#This Row],[DATE]]-C282-1))</f>
        <v>9</v>
      </c>
      <c r="E283" s="19" t="str">
        <f>TEXT(Table1[[#This Row],[DATE]],"yyyy-mm")</f>
        <v>2025-12</v>
      </c>
      <c r="F283" s="24"/>
      <c r="G283" s="28"/>
    </row>
    <row r="284" spans="1:7" x14ac:dyDescent="0.25">
      <c r="A284" s="22" t="s">
        <v>173</v>
      </c>
      <c r="B284" s="22" t="s">
        <v>170</v>
      </c>
      <c r="C284" s="21">
        <v>45993</v>
      </c>
      <c r="D284" s="26">
        <f>IF(IF(C283="", "", Table1[[#This Row],[DATE]]-C283-1) &lt; 0, 0, IF(C283="", "", Table1[[#This Row],[DATE]]-C283-1))</f>
        <v>0</v>
      </c>
      <c r="E284" s="19" t="str">
        <f>TEXT(Table1[[#This Row],[DATE]],"yyyy-mm")</f>
        <v>2025-12</v>
      </c>
      <c r="F284" s="24"/>
      <c r="G284" s="28"/>
    </row>
    <row r="285" spans="1:7" x14ac:dyDescent="0.25">
      <c r="A285" s="22" t="s">
        <v>173</v>
      </c>
      <c r="B285" s="22" t="s">
        <v>171</v>
      </c>
      <c r="C285" s="21">
        <v>45994</v>
      </c>
      <c r="D285" s="26">
        <f>IF(IF(C284="", "", Table1[[#This Row],[DATE]]-C284-1) &lt; 0, 0, IF(C284="", "", Table1[[#This Row],[DATE]]-C284-1))</f>
        <v>0</v>
      </c>
      <c r="E285" s="19" t="str">
        <f>TEXT(Table1[[#This Row],[DATE]],"yyyy-mm")</f>
        <v>2025-12</v>
      </c>
      <c r="F285" s="24"/>
      <c r="G285" s="28"/>
    </row>
    <row r="286" spans="1:7" x14ac:dyDescent="0.25">
      <c r="A286" s="22" t="s">
        <v>173</v>
      </c>
      <c r="B286" s="22" t="s">
        <v>172</v>
      </c>
      <c r="C286" s="21">
        <v>45995</v>
      </c>
      <c r="D286" s="26">
        <f>IF(IF(C285="", "", Table1[[#This Row],[DATE]]-C285-1) &lt; 0, 0, IF(C285="", "", Table1[[#This Row],[DATE]]-C285-1))</f>
        <v>0</v>
      </c>
      <c r="E286" s="19" t="str">
        <f>TEXT(Table1[[#This Row],[DATE]],"yyyy-mm")</f>
        <v>2025-12</v>
      </c>
      <c r="F286" s="24"/>
      <c r="G286" s="28"/>
    </row>
    <row r="287" spans="1:7" x14ac:dyDescent="0.25">
      <c r="A287" s="22" t="s">
        <v>173</v>
      </c>
      <c r="B287" s="22" t="s">
        <v>181</v>
      </c>
      <c r="C287" s="21">
        <v>45996</v>
      </c>
      <c r="D287" s="26">
        <f>IF(IF(C286="", "", Table1[[#This Row],[DATE]]-C286-1) &lt; 0, 0, IF(C286="", "", Table1[[#This Row],[DATE]]-C286-1))</f>
        <v>0</v>
      </c>
      <c r="E287" s="19" t="str">
        <f>TEXT(Table1[[#This Row],[DATE]],"yyyy-mm")</f>
        <v>2025-12</v>
      </c>
      <c r="F287" s="24"/>
      <c r="G287" s="28"/>
    </row>
    <row r="288" spans="1:7" x14ac:dyDescent="0.25">
      <c r="A288" s="22" t="s">
        <v>173</v>
      </c>
      <c r="B288" s="22" t="s">
        <v>185</v>
      </c>
      <c r="C288" s="21">
        <v>45996</v>
      </c>
      <c r="D288" s="26">
        <f>IF(IF(C287="", "", Table1[[#This Row],[DATE]]-C287-1) &lt; 0, 0, IF(C287="", "", Table1[[#This Row],[DATE]]-C287-1))</f>
        <v>0</v>
      </c>
      <c r="E288" s="19" t="str">
        <f>TEXT(Table1[[#This Row],[DATE]],"yyyy-mm")</f>
        <v>2025-12</v>
      </c>
      <c r="F288" s="24"/>
      <c r="G288" s="28"/>
    </row>
    <row r="289" spans="1:7" x14ac:dyDescent="0.25">
      <c r="A289" s="22" t="s">
        <v>173</v>
      </c>
      <c r="B289" s="22" t="s">
        <v>169</v>
      </c>
      <c r="C289" s="21">
        <v>45999</v>
      </c>
      <c r="D289" s="26">
        <f>IF(IF(C288="", "", Table1[[#This Row],[DATE]]-C288-1) &lt; 0, 0, IF(C288="", "", Table1[[#This Row],[DATE]]-C288-1))</f>
        <v>2</v>
      </c>
      <c r="E289" s="19" t="str">
        <f>TEXT(Table1[[#This Row],[DATE]],"yyyy-mm")</f>
        <v>2025-12</v>
      </c>
      <c r="F289" s="24"/>
      <c r="G289" s="28"/>
    </row>
    <row r="290" spans="1:7" x14ac:dyDescent="0.25">
      <c r="A290" s="22" t="s">
        <v>173</v>
      </c>
      <c r="B290" s="22" t="s">
        <v>185</v>
      </c>
      <c r="C290" s="21">
        <v>45999</v>
      </c>
      <c r="D290" s="26">
        <f>IF(IF(C289="", "", Table1[[#This Row],[DATE]]-C289-1) &lt; 0, 0, IF(C289="", "", Table1[[#This Row],[DATE]]-C289-1))</f>
        <v>0</v>
      </c>
      <c r="E290" s="19" t="str">
        <f>TEXT(Table1[[#This Row],[DATE]],"yyyy-mm")</f>
        <v>2025-12</v>
      </c>
      <c r="F290" s="24"/>
      <c r="G290" s="28"/>
    </row>
    <row r="291" spans="1:7" x14ac:dyDescent="0.25">
      <c r="A291" s="22" t="s">
        <v>173</v>
      </c>
      <c r="B291" s="22" t="s">
        <v>170</v>
      </c>
      <c r="C291" s="21">
        <v>46000</v>
      </c>
      <c r="D291" s="26">
        <f>IF(IF(C290="", "", Table1[[#This Row],[DATE]]-C290-1) &lt; 0, 0, IF(C290="", "", Table1[[#This Row],[DATE]]-C290-1))</f>
        <v>0</v>
      </c>
      <c r="E291" s="19" t="str">
        <f>TEXT(Table1[[#This Row],[DATE]],"yyyy-mm")</f>
        <v>2025-12</v>
      </c>
      <c r="F291" s="24"/>
      <c r="G291" s="28"/>
    </row>
    <row r="292" spans="1:7" x14ac:dyDescent="0.25">
      <c r="A292" s="22" t="s">
        <v>173</v>
      </c>
      <c r="B292" s="22" t="s">
        <v>185</v>
      </c>
      <c r="C292" s="21">
        <v>46000</v>
      </c>
      <c r="D292" s="26">
        <f>IF(IF(C291="", "", Table1[[#This Row],[DATE]]-C291-1) &lt; 0, 0, IF(C291="", "", Table1[[#This Row],[DATE]]-C291-1))</f>
        <v>0</v>
      </c>
      <c r="E292" s="19" t="str">
        <f>TEXT(Table1[[#This Row],[DATE]],"yyyy-mm")</f>
        <v>2025-12</v>
      </c>
      <c r="F292" s="24"/>
      <c r="G292" s="28"/>
    </row>
    <row r="293" spans="1:7" x14ac:dyDescent="0.25">
      <c r="A293" s="22" t="s">
        <v>173</v>
      </c>
      <c r="B293" s="22" t="s">
        <v>169</v>
      </c>
      <c r="C293" s="21">
        <v>46025</v>
      </c>
      <c r="D293" s="26">
        <f>IF(IF(C292="", "", Table1[[#This Row],[DATE]]-C292-1) &lt; 0, 0, IF(C292="", "", Table1[[#This Row],[DATE]]-C292-1))</f>
        <v>24</v>
      </c>
      <c r="E293" s="19" t="str">
        <f>TEXT(Table1[[#This Row],[DATE]],"yyyy-mm")</f>
        <v>2026-01</v>
      </c>
      <c r="F293" s="24"/>
      <c r="G293" s="28"/>
    </row>
    <row r="294" spans="1:7" x14ac:dyDescent="0.25">
      <c r="A294" s="22" t="s">
        <v>173</v>
      </c>
      <c r="B294" s="22" t="s">
        <v>169</v>
      </c>
      <c r="C294" s="21">
        <v>46043</v>
      </c>
      <c r="D294" s="26">
        <f>IF(IF(C293="", "", Table1[[#This Row],[DATE]]-C293-1) &lt; 0, 0, IF(C293="", "", Table1[[#This Row],[DATE]]-C293-1))</f>
        <v>17</v>
      </c>
      <c r="E294" s="19" t="str">
        <f>TEXT(Table1[[#This Row],[DATE]],"yyyy-mm")</f>
        <v>2026-01</v>
      </c>
      <c r="F294" s="24"/>
      <c r="G294" s="28"/>
    </row>
    <row r="295" spans="1:7" x14ac:dyDescent="0.25">
      <c r="A295" s="22" t="s">
        <v>173</v>
      </c>
      <c r="B295" s="22" t="s">
        <v>169</v>
      </c>
      <c r="C295" s="21">
        <v>46048</v>
      </c>
      <c r="D295" s="26">
        <f>IF(IF(C294="", "", Table1[[#This Row],[DATE]]-C294-1) &lt; 0, 0, IF(C294="", "", Table1[[#This Row],[DATE]]-C294-1))</f>
        <v>4</v>
      </c>
      <c r="E295" s="19" t="str">
        <f>TEXT(Table1[[#This Row],[DATE]],"yyyy-mm")</f>
        <v>2026-01</v>
      </c>
      <c r="F295" s="24"/>
      <c r="G295" s="28"/>
    </row>
  </sheetData>
  <conditionalFormatting sqref="D1:D1048576">
    <cfRule type="colorScale" priority="1">
      <colorScale>
        <cfvo type="min"/>
        <cfvo type="num" val="2"/>
        <cfvo type="max"/>
        <color rgb="FF00B0F0"/>
        <color theme="4" tint="-0.499984740745262"/>
        <color rgb="FFFF0000"/>
      </colorScale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8B7BD-4D56-45D5-B64A-3373C79ECD73}">
  <dimension ref="A1:S32"/>
  <sheetViews>
    <sheetView topLeftCell="A15" workbookViewId="0">
      <selection activeCell="B29" sqref="B29"/>
    </sheetView>
  </sheetViews>
  <sheetFormatPr defaultRowHeight="15" x14ac:dyDescent="0.25"/>
  <cols>
    <col min="1" max="1" width="29.25" bestFit="1" customWidth="1"/>
    <col min="2" max="18" width="8.625" bestFit="1" customWidth="1"/>
    <col min="19" max="19" width="11.25" bestFit="1" customWidth="1"/>
  </cols>
  <sheetData>
    <row r="1" spans="1:19" ht="15.75" thickBot="1" x14ac:dyDescent="0.3">
      <c r="A1" s="37" t="s">
        <v>182</v>
      </c>
      <c r="B1" s="39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</row>
    <row r="2" spans="1:19" ht="15.75" thickBot="1" x14ac:dyDescent="0.3">
      <c r="A2" s="39"/>
      <c r="B2" s="38" t="s">
        <v>174</v>
      </c>
      <c r="C2" s="38" t="s">
        <v>175</v>
      </c>
      <c r="D2" s="38" t="s">
        <v>187</v>
      </c>
      <c r="E2" s="38" t="s">
        <v>206</v>
      </c>
      <c r="F2" s="38" t="s">
        <v>216</v>
      </c>
      <c r="G2" s="38" t="s">
        <v>223</v>
      </c>
      <c r="H2" s="38" t="s">
        <v>227</v>
      </c>
      <c r="I2" s="38" t="s">
        <v>229</v>
      </c>
      <c r="J2" s="38" t="s">
        <v>231</v>
      </c>
      <c r="K2" s="38" t="s">
        <v>232</v>
      </c>
      <c r="L2" s="38" t="s">
        <v>234</v>
      </c>
      <c r="M2" s="38" t="s">
        <v>235</v>
      </c>
      <c r="N2" s="38" t="s">
        <v>239</v>
      </c>
      <c r="O2" s="38" t="s">
        <v>240</v>
      </c>
      <c r="P2" s="38" t="s">
        <v>241</v>
      </c>
      <c r="Q2" s="38" t="s">
        <v>242</v>
      </c>
      <c r="R2" s="38" t="s">
        <v>245</v>
      </c>
      <c r="S2" s="38" t="s">
        <v>168</v>
      </c>
    </row>
    <row r="3" spans="1:19" x14ac:dyDescent="0.25">
      <c r="A3" s="23" t="s">
        <v>173</v>
      </c>
      <c r="B3" s="65">
        <v>3</v>
      </c>
      <c r="C3" s="66">
        <v>30</v>
      </c>
      <c r="D3" s="66">
        <v>47</v>
      </c>
      <c r="E3" s="66">
        <v>41</v>
      </c>
      <c r="F3" s="66">
        <v>32</v>
      </c>
      <c r="G3" s="66">
        <v>13</v>
      </c>
      <c r="H3" s="66">
        <v>12</v>
      </c>
      <c r="I3" s="66">
        <v>35</v>
      </c>
      <c r="J3" s="66">
        <v>14</v>
      </c>
      <c r="K3" s="66">
        <v>18</v>
      </c>
      <c r="L3" s="66">
        <v>2</v>
      </c>
      <c r="M3" s="66">
        <v>4</v>
      </c>
      <c r="N3" s="66">
        <v>6</v>
      </c>
      <c r="O3" s="66">
        <v>18</v>
      </c>
      <c r="P3" s="66">
        <v>6</v>
      </c>
      <c r="Q3" s="66">
        <v>10</v>
      </c>
      <c r="R3" s="66">
        <v>3</v>
      </c>
      <c r="S3" s="66">
        <v>294</v>
      </c>
    </row>
    <row r="4" spans="1:19" x14ac:dyDescent="0.25">
      <c r="A4" s="20" t="s">
        <v>172</v>
      </c>
      <c r="B4" s="63"/>
      <c r="C4" s="62">
        <v>5</v>
      </c>
      <c r="D4" s="62">
        <v>5</v>
      </c>
      <c r="E4" s="62">
        <v>6</v>
      </c>
      <c r="F4" s="62">
        <v>4</v>
      </c>
      <c r="G4" s="62">
        <v>1</v>
      </c>
      <c r="H4" s="62"/>
      <c r="I4" s="62">
        <v>3</v>
      </c>
      <c r="J4" s="62">
        <v>2</v>
      </c>
      <c r="K4" s="62">
        <v>2</v>
      </c>
      <c r="L4" s="62"/>
      <c r="M4" s="62"/>
      <c r="N4" s="62">
        <v>1</v>
      </c>
      <c r="O4" s="62">
        <v>2</v>
      </c>
      <c r="P4" s="62">
        <v>1</v>
      </c>
      <c r="Q4" s="62">
        <v>1</v>
      </c>
      <c r="R4" s="62"/>
      <c r="S4" s="62">
        <v>33</v>
      </c>
    </row>
    <row r="5" spans="1:19" x14ac:dyDescent="0.25">
      <c r="A5" s="20" t="s">
        <v>170</v>
      </c>
      <c r="B5" s="63">
        <v>1</v>
      </c>
      <c r="C5" s="62">
        <v>4</v>
      </c>
      <c r="D5" s="62">
        <v>6</v>
      </c>
      <c r="E5" s="62">
        <v>3</v>
      </c>
      <c r="F5" s="62">
        <v>4</v>
      </c>
      <c r="G5" s="62">
        <v>1</v>
      </c>
      <c r="H5" s="62">
        <v>2</v>
      </c>
      <c r="I5" s="62">
        <v>4</v>
      </c>
      <c r="J5" s="62">
        <v>2</v>
      </c>
      <c r="K5" s="62">
        <v>2</v>
      </c>
      <c r="L5" s="62"/>
      <c r="M5" s="62"/>
      <c r="N5" s="62">
        <v>1</v>
      </c>
      <c r="O5" s="62">
        <v>2</v>
      </c>
      <c r="P5" s="62">
        <v>1</v>
      </c>
      <c r="Q5" s="62">
        <v>2</v>
      </c>
      <c r="R5" s="62"/>
      <c r="S5" s="62">
        <v>35</v>
      </c>
    </row>
    <row r="6" spans="1:19" x14ac:dyDescent="0.25">
      <c r="A6" s="20" t="s">
        <v>169</v>
      </c>
      <c r="B6" s="63">
        <v>1</v>
      </c>
      <c r="C6" s="62">
        <v>5</v>
      </c>
      <c r="D6" s="62">
        <v>5</v>
      </c>
      <c r="E6" s="62">
        <v>6</v>
      </c>
      <c r="F6" s="62">
        <v>4</v>
      </c>
      <c r="G6" s="62">
        <v>2</v>
      </c>
      <c r="H6" s="62">
        <v>2</v>
      </c>
      <c r="I6" s="62">
        <v>4</v>
      </c>
      <c r="J6" s="62">
        <v>2</v>
      </c>
      <c r="K6" s="62">
        <v>3</v>
      </c>
      <c r="L6" s="62">
        <v>2</v>
      </c>
      <c r="M6" s="62">
        <v>2</v>
      </c>
      <c r="N6" s="62">
        <v>1</v>
      </c>
      <c r="O6" s="62">
        <v>4</v>
      </c>
      <c r="P6" s="62">
        <v>2</v>
      </c>
      <c r="Q6" s="62">
        <v>2</v>
      </c>
      <c r="R6" s="62">
        <v>3</v>
      </c>
      <c r="S6" s="62">
        <v>50</v>
      </c>
    </row>
    <row r="7" spans="1:19" x14ac:dyDescent="0.25">
      <c r="A7" s="20" t="s">
        <v>171</v>
      </c>
      <c r="B7" s="63">
        <v>1</v>
      </c>
      <c r="C7" s="62">
        <v>4</v>
      </c>
      <c r="D7" s="62">
        <v>6</v>
      </c>
      <c r="E7" s="62">
        <v>4</v>
      </c>
      <c r="F7" s="62">
        <v>3</v>
      </c>
      <c r="G7" s="62">
        <v>1</v>
      </c>
      <c r="H7" s="62">
        <v>2</v>
      </c>
      <c r="I7" s="62">
        <v>4</v>
      </c>
      <c r="J7" s="62">
        <v>2</v>
      </c>
      <c r="K7" s="62">
        <v>2</v>
      </c>
      <c r="L7" s="62"/>
      <c r="M7" s="62"/>
      <c r="N7" s="62"/>
      <c r="O7" s="62">
        <v>1</v>
      </c>
      <c r="P7" s="62">
        <v>1</v>
      </c>
      <c r="Q7" s="62">
        <v>1</v>
      </c>
      <c r="R7" s="62"/>
      <c r="S7" s="62">
        <v>32</v>
      </c>
    </row>
    <row r="8" spans="1:19" x14ac:dyDescent="0.25">
      <c r="A8" s="20" t="s">
        <v>181</v>
      </c>
      <c r="B8" s="63"/>
      <c r="C8" s="62">
        <v>3</v>
      </c>
      <c r="D8" s="62">
        <v>4</v>
      </c>
      <c r="E8" s="62">
        <v>3</v>
      </c>
      <c r="F8" s="62">
        <v>1</v>
      </c>
      <c r="G8" s="62">
        <v>1</v>
      </c>
      <c r="H8" s="62"/>
      <c r="I8" s="62">
        <v>2</v>
      </c>
      <c r="J8" s="62"/>
      <c r="K8" s="62"/>
      <c r="L8" s="62"/>
      <c r="M8" s="62"/>
      <c r="N8" s="62"/>
      <c r="O8" s="62"/>
      <c r="P8" s="62"/>
      <c r="Q8" s="62">
        <v>1</v>
      </c>
      <c r="R8" s="62"/>
      <c r="S8" s="62">
        <v>15</v>
      </c>
    </row>
    <row r="9" spans="1:19" x14ac:dyDescent="0.25">
      <c r="A9" s="20" t="s">
        <v>185</v>
      </c>
      <c r="B9" s="63"/>
      <c r="C9" s="62">
        <v>9</v>
      </c>
      <c r="D9" s="62">
        <v>21</v>
      </c>
      <c r="E9" s="62">
        <v>19</v>
      </c>
      <c r="F9" s="62">
        <v>16</v>
      </c>
      <c r="G9" s="62">
        <v>6</v>
      </c>
      <c r="H9" s="62">
        <v>6</v>
      </c>
      <c r="I9" s="62">
        <v>18</v>
      </c>
      <c r="J9" s="62">
        <v>6</v>
      </c>
      <c r="K9" s="62">
        <v>9</v>
      </c>
      <c r="L9" s="62"/>
      <c r="M9" s="62">
        <v>2</v>
      </c>
      <c r="N9" s="62">
        <v>3</v>
      </c>
      <c r="O9" s="62">
        <v>9</v>
      </c>
      <c r="P9" s="62">
        <v>1</v>
      </c>
      <c r="Q9" s="62">
        <v>3</v>
      </c>
      <c r="R9" s="62"/>
      <c r="S9" s="62">
        <v>128</v>
      </c>
    </row>
    <row r="10" spans="1:19" x14ac:dyDescent="0.25">
      <c r="A10" s="20" t="s">
        <v>224</v>
      </c>
      <c r="B10" s="63"/>
      <c r="C10" s="62"/>
      <c r="D10" s="62"/>
      <c r="E10" s="62"/>
      <c r="F10" s="62"/>
      <c r="G10" s="62">
        <v>1</v>
      </c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>
        <v>1</v>
      </c>
    </row>
    <row r="11" spans="1:19" x14ac:dyDescent="0.25">
      <c r="A11" s="17" t="s">
        <v>168</v>
      </c>
      <c r="B11" s="63">
        <v>3</v>
      </c>
      <c r="C11" s="62">
        <v>30</v>
      </c>
      <c r="D11" s="62">
        <v>47</v>
      </c>
      <c r="E11" s="62">
        <v>41</v>
      </c>
      <c r="F11" s="62">
        <v>32</v>
      </c>
      <c r="G11" s="62">
        <v>13</v>
      </c>
      <c r="H11" s="62">
        <v>12</v>
      </c>
      <c r="I11" s="62">
        <v>35</v>
      </c>
      <c r="J11" s="62">
        <v>14</v>
      </c>
      <c r="K11" s="62">
        <v>18</v>
      </c>
      <c r="L11" s="62">
        <v>2</v>
      </c>
      <c r="M11" s="62">
        <v>4</v>
      </c>
      <c r="N11" s="62">
        <v>6</v>
      </c>
      <c r="O11" s="62">
        <v>18</v>
      </c>
      <c r="P11" s="62">
        <v>6</v>
      </c>
      <c r="Q11" s="62">
        <v>10</v>
      </c>
      <c r="R11" s="62">
        <v>3</v>
      </c>
      <c r="S11" s="62">
        <v>294</v>
      </c>
    </row>
    <row r="13" spans="1:19" ht="15.75" thickBot="1" x14ac:dyDescent="0.3">
      <c r="B13" s="34" t="s">
        <v>211</v>
      </c>
      <c r="C13" s="34" t="s">
        <v>212</v>
      </c>
    </row>
    <row r="14" spans="1:19" ht="15.75" thickBot="1" x14ac:dyDescent="0.3">
      <c r="A14" s="35" t="s">
        <v>173</v>
      </c>
      <c r="B14" s="64">
        <v>294</v>
      </c>
      <c r="C14" s="36">
        <v>359</v>
      </c>
    </row>
    <row r="15" spans="1:19" x14ac:dyDescent="0.25">
      <c r="A15" s="32" t="s">
        <v>174</v>
      </c>
      <c r="B15" s="63">
        <v>3</v>
      </c>
      <c r="C15" s="31">
        <v>0</v>
      </c>
      <c r="D15" s="33">
        <f>GETPIVOTDATA("Skipped",$A$13,"ROUTINE NAME","QUARANTINE","MONTH","2024-08")/GETPIVOTDATA("Workouts",$A$13,"ROUTINE NAME","QUARANTINE","MONTH","2024-08")</f>
        <v>0</v>
      </c>
    </row>
    <row r="16" spans="1:19" x14ac:dyDescent="0.25">
      <c r="A16" s="32" t="s">
        <v>175</v>
      </c>
      <c r="B16" s="62">
        <v>30</v>
      </c>
      <c r="C16" s="30">
        <v>9</v>
      </c>
      <c r="D16" s="33">
        <f>GETPIVOTDATA("Skipped",$A$13,"ROUTINE NAME","QUARANTINE","MONTH","2024-09")/GETPIVOTDATA("Workouts",$A$13,"ROUTINE NAME","QUARANTINE","MONTH","2024-09")</f>
        <v>0.3</v>
      </c>
    </row>
    <row r="17" spans="1:4" x14ac:dyDescent="0.25">
      <c r="A17" s="32" t="s">
        <v>187</v>
      </c>
      <c r="B17" s="62">
        <v>47</v>
      </c>
      <c r="C17" s="30">
        <v>11</v>
      </c>
      <c r="D17" s="33">
        <f>GETPIVOTDATA("Skipped",$A$13,"ROUTINE NAME","QUARANTINE","MONTH","2024-10")/GETPIVOTDATA("Workouts",$A$13,"ROUTINE NAME","QUARANTINE","MONTH","2024-10")</f>
        <v>0.23404255319148937</v>
      </c>
    </row>
    <row r="18" spans="1:4" x14ac:dyDescent="0.25">
      <c r="A18" s="32" t="s">
        <v>206</v>
      </c>
      <c r="B18" s="62">
        <v>41</v>
      </c>
      <c r="C18" s="30">
        <v>10</v>
      </c>
      <c r="D18" s="33">
        <f>GETPIVOTDATA("Skipped",$A$13,"ROUTINE NAME","QUARANTINE","MONTH","2024-11")/GETPIVOTDATA("Workouts",$A$13,"ROUTINE NAME","QUARANTINE","MONTH","2024-11")</f>
        <v>0.24390243902439024</v>
      </c>
    </row>
    <row r="19" spans="1:4" x14ac:dyDescent="0.25">
      <c r="A19" s="32" t="s">
        <v>216</v>
      </c>
      <c r="B19" s="62">
        <v>32</v>
      </c>
      <c r="C19" s="30">
        <v>10</v>
      </c>
      <c r="D19" s="33">
        <f>GETPIVOTDATA("Skipped",$A$13,"ROUTINE NAME","QUARANTINE","MONTH","2024-12")/GETPIVOTDATA("Workouts",$A$13,"ROUTINE NAME","QUARANTINE","MONTH","2024-12")</f>
        <v>0.3125</v>
      </c>
    </row>
    <row r="20" spans="1:4" x14ac:dyDescent="0.25">
      <c r="A20" s="32" t="s">
        <v>223</v>
      </c>
      <c r="B20" s="62">
        <v>13</v>
      </c>
      <c r="C20" s="30">
        <v>9</v>
      </c>
      <c r="D20" s="33">
        <f>GETPIVOTDATA("Skipped",$A$13,"ROUTINE NAME","QUARANTINE","MONTH","2025-01")/GETPIVOTDATA("Workouts",$A$13,"ROUTINE NAME","QUARANTINE","MONTH","2025-01")</f>
        <v>0.69230769230769229</v>
      </c>
    </row>
    <row r="21" spans="1:4" x14ac:dyDescent="0.25">
      <c r="A21" s="32" t="s">
        <v>227</v>
      </c>
      <c r="B21" s="62">
        <v>12</v>
      </c>
      <c r="C21" s="30">
        <v>43</v>
      </c>
      <c r="D21" s="33">
        <f>GETPIVOTDATA("Skipped",$A$13,"ROUTINE NAME","QUARANTINE","MONTH","2025-02")/GETPIVOTDATA("Workouts",$A$13,"ROUTINE NAME","QUARANTINE","MONTH","2025-02")</f>
        <v>3.5833333333333335</v>
      </c>
    </row>
    <row r="22" spans="1:4" x14ac:dyDescent="0.25">
      <c r="A22" s="32" t="s">
        <v>229</v>
      </c>
      <c r="B22" s="62">
        <v>35</v>
      </c>
      <c r="C22" s="30">
        <v>14</v>
      </c>
      <c r="D22" s="33">
        <f>GETPIVOTDATA("Skipped",$A$13,"ROUTINE NAME","QUARANTINE","MONTH","2025-03")/GETPIVOTDATA("Workouts",$A$13,"ROUTINE NAME","QUARANTINE","MONTH","2025-03")</f>
        <v>0.4</v>
      </c>
    </row>
    <row r="23" spans="1:4" x14ac:dyDescent="0.25">
      <c r="A23" s="32" t="s">
        <v>231</v>
      </c>
      <c r="B23" s="62">
        <v>14</v>
      </c>
      <c r="C23" s="30">
        <v>19</v>
      </c>
      <c r="D23" s="33">
        <f>GETPIVOTDATA("Skipped",$A$13,"ROUTINE NAME","QUARANTINE","MONTH","2025-04")/GETPIVOTDATA("Workouts",$A$13,"ROUTINE NAME","QUARANTINE","MONTH","2025-04")</f>
        <v>1.3571428571428572</v>
      </c>
    </row>
    <row r="24" spans="1:4" x14ac:dyDescent="0.25">
      <c r="A24" s="32" t="s">
        <v>232</v>
      </c>
      <c r="B24" s="62">
        <v>18</v>
      </c>
      <c r="C24" s="30">
        <v>21</v>
      </c>
      <c r="D24" s="33">
        <f>GETPIVOTDATA("Skipped",$A$13,"ROUTINE NAME","QUARANTINE","MONTH","2025-05")/GETPIVOTDATA("Workouts",$A$13,"ROUTINE NAME","QUARANTINE","MONTH","2025-05")</f>
        <v>1.1666666666666667</v>
      </c>
    </row>
    <row r="25" spans="1:4" x14ac:dyDescent="0.25">
      <c r="A25" s="32" t="s">
        <v>234</v>
      </c>
      <c r="B25" s="62">
        <v>2</v>
      </c>
      <c r="C25" s="30">
        <v>60</v>
      </c>
      <c r="D25" s="33">
        <f>GETPIVOTDATA("Skipped",$A$13,"ROUTINE NAME","QUARANTINE","MONTH","2025-07")/GETPIVOTDATA("Workouts",$A$13,"ROUTINE NAME","QUARANTINE","MONTH","2025-07")</f>
        <v>30</v>
      </c>
    </row>
    <row r="26" spans="1:4" x14ac:dyDescent="0.25">
      <c r="A26" s="32" t="s">
        <v>235</v>
      </c>
      <c r="B26" s="62">
        <v>4</v>
      </c>
      <c r="C26" s="30">
        <v>26</v>
      </c>
      <c r="D26" s="33">
        <f>GETPIVOTDATA("Skipped",$A$13,"ROUTINE NAME","QUARANTINE","MONTH","2025-08")/GETPIVOTDATA("Workouts",$A$13,"ROUTINE NAME","QUARANTINE","MONTH","2025-08")</f>
        <v>6.5</v>
      </c>
    </row>
    <row r="27" spans="1:4" x14ac:dyDescent="0.25">
      <c r="A27" s="32" t="s">
        <v>239</v>
      </c>
      <c r="B27" s="62">
        <v>6</v>
      </c>
      <c r="C27" s="30">
        <v>32</v>
      </c>
      <c r="D27" s="33">
        <f>GETPIVOTDATA("Skipped",$A$13,"ROUTINE NAME","QUARANTINE","MONTH","2025-09")/GETPIVOTDATA("Workouts",$A$13,"ROUTINE NAME","QUARANTINE","MONTH","2025-09")</f>
        <v>5.333333333333333</v>
      </c>
    </row>
    <row r="28" spans="1:4" x14ac:dyDescent="0.25">
      <c r="A28" s="32" t="s">
        <v>240</v>
      </c>
      <c r="B28" s="62">
        <v>18</v>
      </c>
      <c r="C28" s="30">
        <v>22</v>
      </c>
      <c r="D28" s="33">
        <f>GETPIVOTDATA("Skipped",$A$13,"ROUTINE NAME","QUARANTINE","MONTH","2025-10")/GETPIVOTDATA("Workouts",$A$13,"ROUTINE NAME","QUARANTINE","MONTH","2025-10")</f>
        <v>1.2222222222222223</v>
      </c>
    </row>
    <row r="29" spans="1:4" x14ac:dyDescent="0.25">
      <c r="A29" s="32" t="s">
        <v>241</v>
      </c>
      <c r="B29" s="62">
        <v>6</v>
      </c>
      <c r="C29" s="30">
        <v>17</v>
      </c>
      <c r="D29" s="33">
        <f>GETPIVOTDATA("Skipped",$A$13,"ROUTINE NAME","QUARANTINE","MONTH","2025-11")/GETPIVOTDATA("Workouts",$A$13,"ROUTINE NAME","QUARANTINE","MONTH","2025-11")</f>
        <v>2.8333333333333335</v>
      </c>
    </row>
    <row r="30" spans="1:4" x14ac:dyDescent="0.25">
      <c r="A30" s="32" t="s">
        <v>242</v>
      </c>
      <c r="B30" s="62">
        <v>10</v>
      </c>
      <c r="C30" s="30">
        <v>11</v>
      </c>
      <c r="D30" s="33">
        <f>GETPIVOTDATA("Skipped",$A$13,"ROUTINE NAME","QUARANTINE","MONTH","2025-12")/GETPIVOTDATA("Workouts",$A$13,"ROUTINE NAME","QUARANTINE","MONTH","2025-12")</f>
        <v>1.1000000000000001</v>
      </c>
    </row>
    <row r="31" spans="1:4" x14ac:dyDescent="0.25">
      <c r="A31" s="32" t="s">
        <v>245</v>
      </c>
      <c r="B31" s="62">
        <v>3</v>
      </c>
      <c r="C31" s="30">
        <v>45</v>
      </c>
      <c r="D31" s="33">
        <f>GETPIVOTDATA("Skipped",$A$13,"ROUTINE NAME","QUARANTINE","MONTH","2026-01")/GETPIVOTDATA("Workouts",$A$13,"ROUTINE NAME","QUARANTINE","MONTH","2026-01")</f>
        <v>15</v>
      </c>
    </row>
    <row r="32" spans="1:4" x14ac:dyDescent="0.25">
      <c r="A32" s="17" t="s">
        <v>168</v>
      </c>
      <c r="B32" s="62">
        <v>294</v>
      </c>
      <c r="C32" s="30">
        <v>359</v>
      </c>
    </row>
  </sheetData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Routine</vt:lpstr>
      <vt:lpstr>Historical Data</vt:lpstr>
      <vt:lpstr>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Roberto Saban</cp:lastModifiedBy>
  <cp:revision/>
  <dcterms:created xsi:type="dcterms:W3CDTF">2019-03-29T01:00:59Z</dcterms:created>
  <dcterms:modified xsi:type="dcterms:W3CDTF">2026-01-26T12:53:53Z</dcterms:modified>
  <cp:category/>
  <cp:contentStatus/>
</cp:coreProperties>
</file>